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4A9B893C-F7AB-4064-B5E8-78BB9A82CC26}" xr6:coauthVersionLast="47" xr6:coauthVersionMax="47" xr10:uidLastSave="{00000000-0000-0000-0000-000000000000}"/>
  <bookViews>
    <workbookView xWindow="20370" yWindow="-120" windowWidth="29040" windowHeight="16440" tabRatio="641" activeTab="1" xr2:uid="{EF00AFF0-7B6E-4C59-A9C4-D3BDF169B0ED}"/>
  </bookViews>
  <sheets>
    <sheet name="FORM" sheetId="2" r:id="rId1"/>
    <sheet name="TICKET" sheetId="4" r:id="rId2"/>
  </sheets>
  <functionGroups builtInGroupCount="19"/>
  <definedNames>
    <definedName name="Day">FORM!$A$41:$A$70</definedName>
    <definedName name="days">FORM!$A$41:$A$70</definedName>
    <definedName name="Month">#REF!</definedName>
    <definedName name="months">FORM!$A$28:$A$39</definedName>
    <definedName name="Year">#REF!</definedName>
    <definedName name="years">FORM!$A$72:$A$148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2" l="1"/>
  <c r="A27" i="2" l="1"/>
</calcChain>
</file>

<file path=xl/sharedStrings.xml><?xml version="1.0" encoding="utf-8"?>
<sst xmlns="http://schemas.openxmlformats.org/spreadsheetml/2006/main" count="216" uniqueCount="212">
  <si>
    <t>TRANSACTION:</t>
  </si>
  <si>
    <t>REMITTANCE</t>
  </si>
  <si>
    <t>DATE:</t>
  </si>
  <si>
    <t>DEBIT</t>
  </si>
  <si>
    <t>CREDIT</t>
  </si>
  <si>
    <t>EXPLANATION:</t>
  </si>
  <si>
    <t>TRANSACTION</t>
  </si>
  <si>
    <t>DATE</t>
  </si>
  <si>
    <t>GL ACCOUNT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</si>
  <si>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</si>
  <si>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</si>
  <si>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</si>
  <si>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</si>
  <si>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</si>
  <si>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</si>
  <si>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</si>
  <si>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</si>
  <si>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</si>
  <si>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</si>
  <si>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</si>
  <si>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</si>
  <si>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DEPARTMENT:</t>
  </si>
  <si>
    <t>DEPARTMENT</t>
  </si>
  <si>
    <t>ACCOUNTING</t>
  </si>
  <si>
    <t>LOAN</t>
  </si>
  <si>
    <t xml:space="preserve"> </t>
  </si>
  <si>
    <t>LOAN AMORTIZATION</t>
  </si>
  <si>
    <t>UNEARNED INTEREST INCOME</t>
  </si>
  <si>
    <t>LOAN PAYMENT VIA BANK TRANSFER</t>
  </si>
  <si>
    <t>CASH DEPOSIT</t>
  </si>
  <si>
    <t>CASH WITHDRAWAL</t>
  </si>
  <si>
    <t>EXPENSE</t>
  </si>
  <si>
    <t>PAYMENT</t>
  </si>
  <si>
    <t>WITHHOLDING TAX</t>
  </si>
  <si>
    <t>INTEREST</t>
  </si>
  <si>
    <t>LOAN PAYMENT</t>
  </si>
  <si>
    <t>LOAN RELEASE</t>
  </si>
  <si>
    <t>CHECK DEPOSIT</t>
  </si>
  <si>
    <t>CHECK WITHDRAWAL</t>
  </si>
  <si>
    <t>POSITION</t>
  </si>
  <si>
    <t>PREPARED BY:</t>
  </si>
  <si>
    <t>100100000 Local Currency-COH Cash on Hand Teller</t>
  </si>
  <si>
    <t>103100003 BDO Banco De Oro</t>
  </si>
  <si>
    <t>103100002 UCPB United Coconut Planters Bank</t>
  </si>
  <si>
    <t>103100004 CBC China Banking Corporation</t>
  </si>
  <si>
    <t>107100100 Agrarian Reform Loans - Current</t>
  </si>
  <si>
    <t xml:space="preserve">107100300 Agrarian Reform Loans - Past Due Non-Performing </t>
  </si>
  <si>
    <t>107300100 Micro Enterprise - Current</t>
  </si>
  <si>
    <t>107300300 Micro Enterprise - Past Due Non-Performing</t>
  </si>
  <si>
    <t>107400100 Small Enterprise - Current</t>
  </si>
  <si>
    <t>107400200 Small Enterprise - Past Due Performing</t>
  </si>
  <si>
    <t>107500100 Medium Enterprise - Current</t>
  </si>
  <si>
    <t>107600100 Real Estate - Current</t>
  </si>
  <si>
    <t>107800100 APDS Teachers - Current</t>
  </si>
  <si>
    <t>107900100 Personal Other Consumption PLCU-Current</t>
  </si>
  <si>
    <t>107900300 Personal Other Consumption NPPL - Past Due Non-Performing</t>
  </si>
  <si>
    <t>218100000 Unearned Interest Income</t>
  </si>
  <si>
    <t>200200100 REGA Regular Savings Account Deposit - Active</t>
  </si>
  <si>
    <t>200200200 REGD Regular Saving Account Deposit - Dormant</t>
  </si>
  <si>
    <t xml:space="preserve">200200300 BSC Basic Account Deposit </t>
  </si>
  <si>
    <t>200200900 SSA Special Savings Account Deposit</t>
  </si>
  <si>
    <t>200300100 Regular Time Deposit - Active</t>
  </si>
  <si>
    <t>203400000 IPBSC Accrued Interest Payable - Basic Account Deposit</t>
  </si>
  <si>
    <t>203500000 IPSD Accrued Interest Payable - Reg Saving Account Deposit</t>
  </si>
  <si>
    <t xml:space="preserve">203600000 IPSSD Accrued Interest Payable - SSA Deposit </t>
  </si>
  <si>
    <t>210100000 WTPCOM Withholding Tax Payable - Compensation</t>
  </si>
  <si>
    <t xml:space="preserve">210500000 WTPD Withholding Tax - Deposit </t>
  </si>
  <si>
    <t xml:space="preserve">210600000 WTPC Withholding Tax - Contractors </t>
  </si>
  <si>
    <t>210700000 WTPPF Withholding Tax - Professional Fees</t>
  </si>
  <si>
    <t>210800000 GRTP Gross Receipt Tax Payable</t>
  </si>
  <si>
    <t xml:space="preserve"> Real Estate - Past Due Performing</t>
  </si>
  <si>
    <t>107910000 TALAD Temporary Account - Loans and Discounts</t>
  </si>
  <si>
    <t>101100000 Local Currency-COCI Loans / Deposits</t>
  </si>
  <si>
    <t>102100000 Local Currency-DFBSP Due from Bangko Sentral ng Pilipinas</t>
  </si>
  <si>
    <t>103100001 BPI Bank of the Philippines Island</t>
  </si>
  <si>
    <t>103100005 RB Robinson Bank</t>
  </si>
  <si>
    <t>103100006 LB LandBank</t>
  </si>
  <si>
    <t>103300001 CBS China Bank Savings</t>
  </si>
  <si>
    <t>103300002 PSB Producers Savings Bank</t>
  </si>
  <si>
    <t>108100000 Allowance Agrarian Reform Loan</t>
  </si>
  <si>
    <t xml:space="preserve">108300000 Allowance Micro Enterprise </t>
  </si>
  <si>
    <t>108400000 Allowance Small Enterprise</t>
  </si>
  <si>
    <t>108500000 Allowance Medium Enterprise</t>
  </si>
  <si>
    <t>108600000 Allowance Real Estate</t>
  </si>
  <si>
    <t>108800000 Allowance  Loans to Individual for Comsumption-APDS Teachers</t>
  </si>
  <si>
    <t>108900000 Allowance Loans to Individual for Comsumption-PL Others</t>
  </si>
  <si>
    <t>109100000 Allowance for Probable Losses-General</t>
  </si>
  <si>
    <t>110100000 SCR Sales Contract Receivable-Performing</t>
  </si>
  <si>
    <t>11100200 Bank Premises - Building</t>
  </si>
  <si>
    <t>111100100 Bank Premises - Land</t>
  </si>
  <si>
    <t>111100300 Bank Premises - Transportation BPTE</t>
  </si>
  <si>
    <t>111100400 Bank Premises - Information Technology BPITE</t>
  </si>
  <si>
    <t>111100500 Bank Premises - Furniture and Fixture BPFFE</t>
  </si>
  <si>
    <t>111100600 Bank Premises - Other Office Equipment BPOOE</t>
  </si>
  <si>
    <t>111200100 Accumulated Depreciation-Bank Premises Building BPBAD</t>
  </si>
  <si>
    <t>111200200 Accumulated Depreciation- Transportation BPTAD</t>
  </si>
  <si>
    <t>111200300 Accumulated Depreciation-Information Technology BPITEAD</t>
  </si>
  <si>
    <t>111200400 Accumulated Depreciation-Furniture &amp; Fixtures BPFFEAD</t>
  </si>
  <si>
    <t>111200500 Accumulated Depreciation-Other Equipment BPOOEAD</t>
  </si>
  <si>
    <t>112100000 ROPA Land</t>
  </si>
  <si>
    <t>112200000 ROPA Building</t>
  </si>
  <si>
    <t>112300000 Accumulated DEpreciation-ROPA</t>
  </si>
  <si>
    <t>113100000 Petty Cash Fund</t>
  </si>
  <si>
    <t>113200001 AR- USLAI Retirement Fund</t>
  </si>
  <si>
    <t>113200002 AR- MRSM Manuel Ramon S. Melencio</t>
  </si>
  <si>
    <t>113200004 AR- KSA Loans</t>
  </si>
  <si>
    <t>113200005 AR- Florencio V. Alemania</t>
  </si>
  <si>
    <t>113200006 AR- Elizabeth S. Corrales</t>
  </si>
  <si>
    <t>113200007 AR- Ma. Paz B. Misa</t>
  </si>
  <si>
    <t>113200008 AR- Michelle M. Reyes</t>
  </si>
  <si>
    <t>113200012 AR-MCMD Marie Christine M. Del Castillo</t>
  </si>
  <si>
    <t>113200020 AR- Alvin R. Lanuza</t>
  </si>
  <si>
    <t>113200024 AR-Benjamin Franklin V. Sim</t>
  </si>
  <si>
    <t>113200026 AR- Elena J. Atienza</t>
  </si>
  <si>
    <t>113200027 AR-Rosalina Ruby N. Melencio</t>
  </si>
  <si>
    <t>113200028 AR- Felimon L. Del Prado</t>
  </si>
  <si>
    <t>113200029 AR- Joseph Fredrick Henry A. Del Castillo</t>
  </si>
  <si>
    <t>113300002 Refundable Safety Deposit Fund</t>
  </si>
  <si>
    <t>113300003 Miscellaneous Asset</t>
  </si>
  <si>
    <t>113300004 GCash</t>
  </si>
  <si>
    <t>113300008 Retirement Fund</t>
  </si>
  <si>
    <t>113500000 Allowance for Losses-Other Assets</t>
  </si>
  <si>
    <t>113700000 SSOH Stationert &amp; Supplies On Hand</t>
  </si>
  <si>
    <t>115100000 DTA Deferred Tax Assets</t>
  </si>
  <si>
    <t>116100000 PE-TAL Prepaid Taxes and Licenses</t>
  </si>
  <si>
    <t>117200001 PEMDH Prepaid Medical, Dental, and Hospitalization</t>
  </si>
  <si>
    <t>117200002 PESU Prepaid Staff Uniform</t>
  </si>
  <si>
    <t>117200003 PEINS Prepaid Insurances</t>
  </si>
  <si>
    <t>117200004 PEIT Prepaid Information Technology</t>
  </si>
  <si>
    <t>120000001 PREPAID CREDITABLE INCOME TAX</t>
  </si>
  <si>
    <t>103200001 LDB Luzon Development Bank</t>
  </si>
  <si>
    <t>103300003 Rural Bank of Santa Rosa Laguna, Inc</t>
  </si>
  <si>
    <t>212300000 DSCR Discount on SCR/Sales Contract Recevables</t>
  </si>
  <si>
    <t>215100000 SEPP SSS ECC Premium Payable</t>
  </si>
  <si>
    <t>215200000 PPP Philhealth Premium Payable</t>
  </si>
  <si>
    <t>215300000 HDMFPP Pag-ibig Premium Payable</t>
  </si>
  <si>
    <t>125400000 Unclaimed Balances</t>
  </si>
  <si>
    <t>215600001 AP-A. ADATO</t>
  </si>
  <si>
    <t>215600003 AP-Stockholder</t>
  </si>
  <si>
    <t>215600004 AP-Guarantee Fund</t>
  </si>
  <si>
    <t>215600005 AP-Paramount Insurance</t>
  </si>
  <si>
    <t>215600006 AP-CBF Country Bankers Fire Insurance</t>
  </si>
  <si>
    <t>215600007 AP-CBL Country Bankers Life Insurance</t>
  </si>
  <si>
    <t>215600008 AP-Retirement Plan</t>
  </si>
  <si>
    <t>215600009 AP-APDS Automatic Payroll Salary Deduction</t>
  </si>
  <si>
    <t>215600011 AP-CIS Bayad Center IBAYAD</t>
  </si>
  <si>
    <t>215600013 AP-Florencio V. Alemania</t>
  </si>
  <si>
    <t>215600014 AP-Modesto B. Lim</t>
  </si>
  <si>
    <t>215600015 AP-Analiza L. Garcia</t>
  </si>
  <si>
    <t>215600016 AP-13th Month</t>
  </si>
  <si>
    <t>215600018 AP-Susan Lalic (APDS)</t>
  </si>
  <si>
    <t>215600020 AP-Daily Records (Teddy F. Borres)</t>
  </si>
  <si>
    <t>215600022 AP-Rachelle Amema (APDS)</t>
  </si>
  <si>
    <t>215600036 AP-Mitchelle M. Reyes</t>
  </si>
  <si>
    <t>215600042 AP-Andy A. Combalicer</t>
  </si>
  <si>
    <t>215910000 PGLP Pag-ibig Loan Payable</t>
  </si>
  <si>
    <t>215920000 SSSLP SSS Loan Payable</t>
  </si>
  <si>
    <t>215900001 OVER Overages</t>
  </si>
  <si>
    <t>300100000 Paid-in Common Stock</t>
  </si>
  <si>
    <t>302100000 Dep for Stock Subscription</t>
  </si>
  <si>
    <t>303200000 Retained Earning Free</t>
  </si>
  <si>
    <t>400200100 Interest Income Commercial Bank Savings CBSA</t>
  </si>
  <si>
    <t>400200200 Interest Income Other Bank Savings OBSA</t>
  </si>
  <si>
    <t>400200300 Interest Income Other Bank Time Deposit OBTD</t>
  </si>
  <si>
    <t>400600101 IC Agrarian Reform Loans-Current-Interest Income</t>
  </si>
  <si>
    <t>400600102 IC Agrarian Reform Loans-Past Due Performing-Int Inc</t>
  </si>
  <si>
    <t>400600103 IC Agrarian Reform Loans-Past Due Non-Performing-Int Inc</t>
  </si>
  <si>
    <t>400600301 IC Micro Enterprise-Current-Int Inc</t>
  </si>
  <si>
    <t>400600401 IC Small Enterprise-Curret-Int Inc</t>
  </si>
  <si>
    <t>400600402 IC Small Enterprise-Past Due Performing-Int Inc</t>
  </si>
  <si>
    <t>400600403 IC Small Enterprise-Past Due Non-Performing-Int Inc</t>
  </si>
  <si>
    <t>400600501 IC Medium Enterprise-Current-Int Inc</t>
  </si>
  <si>
    <t>400600601 IC Real Estate-Current-Int Inc</t>
  </si>
  <si>
    <t>400600602 IC Real Estate-Past Due Performing-Int Inc</t>
  </si>
  <si>
    <t>400600801 IC APDS Teachers-Current-Int Inc</t>
  </si>
  <si>
    <t>400600901 IC Personal Other Consumption PL-Current-Int Inc</t>
  </si>
  <si>
    <t>400600902 IC Personal Other Consumption PL-Past Due Performing-Int Inc</t>
  </si>
  <si>
    <t>400700000 IC SCR Sales Contract Receivables-Int Inc</t>
  </si>
  <si>
    <t>401100000 Intermediation Services/Fees</t>
  </si>
  <si>
    <t>408200000 MISCIN Miscellaneous Income</t>
  </si>
  <si>
    <t>500100200 EC-Interest Expense-Regular Savings Account Deposit IESARE...</t>
  </si>
  <si>
    <t>500100300 EC-Interest Expense-Basic Account Deposit IEBSC</t>
  </si>
  <si>
    <t>500100400 EC-Interest Expense-Special Savings Account Deposit IESSAHL</t>
  </si>
  <si>
    <t>500100600 EC-Interest Expense-Time Deposit IECTD</t>
  </si>
  <si>
    <t>501100000 EC - SW Salaries and Wages</t>
  </si>
  <si>
    <t xml:space="preserve">501200000 EC - SB Satff Benefits / Fringe Benefit </t>
  </si>
  <si>
    <t>501300000 EC - DF Directors Fee</t>
  </si>
  <si>
    <t xml:space="preserve">501400000 EC - SSS, Philheath &amp; Pagibig Premium </t>
  </si>
  <si>
    <t>501500000 EC - MDH Medical , Dental and Hospitalization</t>
  </si>
  <si>
    <t>502100000 EC - TAL Taxes and Licenses</t>
  </si>
  <si>
    <t>503200000 EC - PLW Power, Light and Water</t>
  </si>
  <si>
    <t xml:space="preserve">503300000 EC - PTCT Postage, Telephone, Cable and Telegram </t>
  </si>
  <si>
    <t>503400000 EC - RM Repairs and Maintenance</t>
  </si>
  <si>
    <t>503500000 EC - SCMJ Security, Messengerial, Janitorial</t>
  </si>
  <si>
    <t>503600000 EC - ITE Information Technology Expense</t>
  </si>
  <si>
    <t>503800100 EC - Insurance-PDIC</t>
  </si>
  <si>
    <t>503800200 EC - Insurance-Others</t>
  </si>
  <si>
    <t>503900000 EC - MOPF Managemnt and Other Professional Fees</t>
  </si>
  <si>
    <t>503901000 EC - RE Representation and Entertainment</t>
  </si>
  <si>
    <t>503902000 EC - TRE Traveling Expense</t>
  </si>
  <si>
    <t>503903000 EC - FL Fuel and Lubricant</t>
  </si>
  <si>
    <t>503905000 EC - MFD Membership Fees and Dues</t>
  </si>
  <si>
    <t>503908000 EC - DSU Documentary Stamp Used</t>
  </si>
  <si>
    <t>503909000 EC - SSU Stationery and Supplies Used</t>
  </si>
  <si>
    <t>503910000 EC - FPC Fines, Penalties and Other Charges</t>
  </si>
  <si>
    <t>503911000 EC - LAAE Litigation/Asset Acquired Expenses</t>
  </si>
  <si>
    <t>503913000 EC - ME Miscellaneous Expenses</t>
  </si>
  <si>
    <t>504100000 EC -Depreciation &amp; Amortization-Bank Premises Building DBPB</t>
  </si>
  <si>
    <t>504300000 EC -Depreciation &amp; Amortization-Furniture &amp; Fixtures</t>
  </si>
  <si>
    <t>SAVINGS</t>
  </si>
  <si>
    <t>ACCOUNT: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</si>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</sst>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(* #,##0.00_);_(* \(#,##0.00\);_(* &quot;-&quot;??_);_(@_)"/>
    <numFmt numFmtId="165" formatCode="mm/dd/yyyy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Segoe UI Semibold"/>
      <family val="2"/>
    </font>
    <font>
      <b/>
      <sz val="12"/>
      <color rgb="FFFFFFFF"/>
      <name val="Segoe UI"/>
      <family val="2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b/>
      <sz val="12"/>
      <color theme="6" tint="0.59999389629810485"/>
      <name val="Segoe UI"/>
      <family val="2"/>
    </font>
    <font>
      <b/>
      <sz val="11"/>
      <color theme="6" tint="0.59999389629810485"/>
      <name val="Calibri"/>
      <family val="2"/>
      <scheme val="minor"/>
    </font>
    <font>
      <sz val="12"/>
      <color theme="6" tint="0.59999389629810485"/>
      <name val="Segoe UI Semibold"/>
      <family val="2"/>
    </font>
    <font>
      <sz val="12"/>
      <color theme="6" tint="0.59999389629810485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1DFA5"/>
        <bgColor indexed="64"/>
      </patternFill>
    </fill>
  </fills>
  <borders count="12">
    <border>
      <left/>
      <right/>
      <top/>
      <bottom/>
      <diagonal/>
    </border>
    <border>
      <left/>
      <right style="medium">
        <color rgb="FF098126"/>
      </right>
      <top/>
      <bottom/>
      <diagonal/>
    </border>
    <border>
      <left/>
      <right/>
      <top/>
      <bottom style="medium">
        <color rgb="FF098126"/>
      </bottom>
      <diagonal/>
    </border>
    <border>
      <left/>
      <right style="medium">
        <color rgb="FF098126"/>
      </right>
      <top/>
      <bottom style="medium">
        <color rgb="FF098126"/>
      </bottom>
      <diagonal/>
    </border>
    <border>
      <left/>
      <right/>
      <top/>
      <bottom style="thin">
        <color indexed="64"/>
      </bottom>
      <diagonal/>
    </border>
    <border>
      <left style="medium">
        <color rgb="FF098126"/>
      </left>
      <right/>
      <top/>
      <bottom/>
      <diagonal/>
    </border>
    <border>
      <left style="thin">
        <color rgb="FF098126"/>
      </left>
      <right style="thin">
        <color rgb="FF098126"/>
      </right>
      <top style="thin">
        <color rgb="FF098126"/>
      </top>
      <bottom style="thin">
        <color rgb="FF098126"/>
      </bottom>
      <diagonal/>
    </border>
    <border>
      <left style="thin">
        <color rgb="FF098126"/>
      </left>
      <right/>
      <top style="thin">
        <color rgb="FF098126"/>
      </top>
      <bottom style="thin">
        <color rgb="FF098126"/>
      </bottom>
      <diagonal/>
    </border>
    <border>
      <left/>
      <right style="thin">
        <color rgb="FF098126"/>
      </right>
      <top style="thin">
        <color rgb="FF098126"/>
      </top>
      <bottom style="thin">
        <color rgb="FF098126"/>
      </bottom>
      <diagonal/>
    </border>
    <border>
      <left/>
      <right/>
      <top style="thin">
        <color rgb="FF098126"/>
      </top>
      <bottom style="thin">
        <color rgb="FF098126"/>
      </bottom>
      <diagonal/>
    </border>
    <border>
      <left style="thin">
        <color indexed="64"/>
      </left>
      <right style="medium">
        <color rgb="FF098126"/>
      </right>
      <top/>
      <bottom/>
      <diagonal/>
    </border>
    <border>
      <left style="medium">
        <color rgb="FF098126"/>
      </left>
      <right style="thin">
        <color rgb="FF098126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Protection="1">
      <protection locked="0"/>
    </xf>
    <xf numFmtId="4" fontId="3" fillId="0" borderId="0" xfId="1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" fontId="3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4" fillId="3" borderId="1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14" fillId="3" borderId="0" xfId="0" applyFont="1" applyFill="1" applyAlignment="1">
      <alignment vertical="center"/>
    </xf>
    <xf numFmtId="0" fontId="13" fillId="3" borderId="0" xfId="0" applyFont="1" applyFill="1"/>
    <xf numFmtId="0" fontId="15" fillId="3" borderId="10" xfId="0" applyFont="1" applyFill="1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4" borderId="1" xfId="0" applyFill="1" applyBorder="1"/>
    <xf numFmtId="0" fontId="16" fillId="3" borderId="10" xfId="0" applyFont="1" applyFill="1" applyBorder="1" applyAlignment="1">
      <alignment vertical="center"/>
    </xf>
    <xf numFmtId="0" fontId="6" fillId="4" borderId="0" xfId="0" applyFont="1" applyFill="1" applyAlignment="1">
      <alignment horizontal="center" vertical="center"/>
    </xf>
    <xf numFmtId="0" fontId="13" fillId="3" borderId="10" xfId="0" applyFont="1" applyFill="1" applyBorder="1"/>
    <xf numFmtId="0" fontId="6" fillId="4" borderId="0" xfId="0" applyFont="1" applyFill="1" applyAlignment="1">
      <alignment horizontal="left" vertical="center"/>
    </xf>
    <xf numFmtId="14" fontId="13" fillId="3" borderId="0" xfId="0" applyNumberFormat="1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17" fillId="3" borderId="0" xfId="0" applyFont="1" applyFill="1"/>
    <xf numFmtId="0" fontId="13" fillId="3" borderId="1" xfId="0" applyFont="1" applyFill="1" applyBorder="1"/>
    <xf numFmtId="0" fontId="16" fillId="3" borderId="1" xfId="0" applyFont="1" applyFill="1" applyBorder="1" applyAlignment="1">
      <alignment vertical="center"/>
    </xf>
    <xf numFmtId="0" fontId="13" fillId="3" borderId="5" xfId="0" applyFont="1" applyFill="1" applyBorder="1"/>
    <xf numFmtId="0" fontId="4" fillId="4" borderId="0" xfId="0" applyFont="1" applyFill="1" applyAlignment="1">
      <alignment horizontal="center"/>
    </xf>
    <xf numFmtId="0" fontId="4" fillId="4" borderId="4" xfId="0" applyFont="1" applyFill="1" applyBorder="1"/>
    <xf numFmtId="0" fontId="4" fillId="4" borderId="0" xfId="0" applyFont="1" applyFill="1"/>
    <xf numFmtId="0" fontId="16" fillId="3" borderId="10" xfId="0" applyFont="1" applyFill="1" applyBorder="1"/>
    <xf numFmtId="0" fontId="6" fillId="4" borderId="0" xfId="0" applyFont="1" applyFill="1" applyAlignment="1">
      <alignment horizontal="right"/>
    </xf>
    <xf numFmtId="0" fontId="6" fillId="4" borderId="11" xfId="0" applyFont="1" applyFill="1" applyBorder="1" applyAlignment="1">
      <alignment horizontal="center" vertical="center"/>
    </xf>
    <xf numFmtId="0" fontId="0" fillId="4" borderId="0" xfId="0" applyFill="1" applyAlignment="1">
      <alignment vertical="center" wrapText="1"/>
    </xf>
    <xf numFmtId="0" fontId="0" fillId="4" borderId="2" xfId="0" applyFill="1" applyBorder="1" applyAlignment="1">
      <alignment horizontal="center"/>
    </xf>
    <xf numFmtId="0" fontId="0" fillId="4" borderId="2" xfId="0" applyFill="1" applyBorder="1"/>
    <xf numFmtId="0" fontId="0" fillId="4" borderId="3" xfId="0" applyFill="1" applyBorder="1"/>
    <xf numFmtId="0" fontId="13" fillId="3" borderId="0" xfId="0" applyFont="1" applyFill="1" applyAlignment="1">
      <alignment horizontal="center"/>
    </xf>
    <xf numFmtId="0" fontId="18" fillId="3" borderId="0" xfId="0" applyFont="1" applyFill="1"/>
    <xf numFmtId="0" fontId="0" fillId="2" borderId="6" xfId="0" applyFill="1" applyBorder="1" applyAlignment="1" applyProtection="1">
      <alignment horizontal="center" vertical="center"/>
      <protection locked="0"/>
    </xf>
    <xf numFmtId="164" fontId="0" fillId="2" borderId="6" xfId="0" applyNumberFormat="1" applyFill="1" applyBorder="1" applyAlignment="1" applyProtection="1">
      <alignment horizontal="center" vertical="center"/>
      <protection locked="0"/>
    </xf>
    <xf numFmtId="14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0" fontId="13" fillId="3" borderId="0" xfId="0" applyFont="1" applyFill="1" applyProtection="1">
      <protection locked="0"/>
    </xf>
    <xf numFmtId="0" fontId="20" fillId="0" borderId="0" xfId="0" applyFont="1" applyProtection="1">
      <protection locked="0"/>
    </xf>
    <xf numFmtId="0" fontId="20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14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" fontId="2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left"/>
      <protection locked="0"/>
    </xf>
    <xf numFmtId="4" fontId="21" fillId="0" borderId="0" xfId="0" applyNumberFormat="1" applyFont="1" applyAlignment="1" applyProtection="1">
      <alignment horizontal="center"/>
      <protection locked="0"/>
    </xf>
    <xf numFmtId="4" fontId="8" fillId="0" borderId="0" xfId="0" applyNumberFormat="1" applyFont="1" applyAlignment="1" applyProtection="1">
      <alignment horizontal="center"/>
      <protection locked="0"/>
    </xf>
    <xf numFmtId="0" fontId="0" fillId="2" borderId="7" xfId="0" applyFill="1" applyBorder="1" applyAlignment="1" applyProtection="1">
      <alignment vertical="center" wrapText="1"/>
      <protection locked="0"/>
    </xf>
    <xf numFmtId="0" fontId="0" fillId="2" borderId="9" xfId="0" applyFill="1" applyBorder="1" applyAlignment="1" applyProtection="1">
      <alignment vertical="center" wrapText="1"/>
      <protection locked="0"/>
    </xf>
    <xf numFmtId="0" fontId="0" fillId="2" borderId="8" xfId="0" applyFill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center"/>
      <protection locked="0"/>
    </xf>
    <xf numFmtId="4" fontId="3" fillId="0" borderId="0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0" borderId="0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43" fontId="2" fillId="0" borderId="0" xfId="0" applyNumberFormat="1" applyFont="1" applyBorder="1" applyAlignment="1" applyProtection="1">
      <alignment horizontal="center"/>
      <protection locked="0"/>
    </xf>
    <xf numFmtId="165" fontId="3" fillId="0" borderId="0" xfId="0" applyNumberFormat="1" applyFont="1" applyBorder="1" applyAlignment="1" applyProtection="1">
      <alignment horizontal="center"/>
      <protection locked="0"/>
    </xf>
    <xf numFmtId="43" fontId="9" fillId="0" borderId="0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/>
      <protection locked="0"/>
    </xf>
    <xf numFmtId="43" fontId="10" fillId="0" borderId="0" xfId="0" applyNumberFormat="1" applyFont="1" applyBorder="1" applyAlignment="1" applyProtection="1">
      <alignment horizontal="center"/>
      <protection locked="0"/>
    </xf>
    <xf numFmtId="4" fontId="21" fillId="0" borderId="0" xfId="0" applyNumberFormat="1" applyFont="1" applyBorder="1" applyAlignment="1" applyProtection="1">
      <alignment horizontal="center"/>
      <protection locked="0"/>
    </xf>
    <xf numFmtId="4" fontId="2" fillId="0" borderId="0" xfId="0" applyNumberFormat="1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/>
      <protection locked="0"/>
    </xf>
    <xf numFmtId="4" fontId="8" fillId="0" borderId="0" xfId="0" applyNumberFormat="1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1DFA5"/>
      <color rgb="FFC2D6C8"/>
      <color rgb="FF098126"/>
      <color rgb="FF003E1C"/>
      <color rgb="FF0B3D2E"/>
      <color rgb="FF1F5E3B"/>
      <color rgb="FF3E6A3E"/>
      <color rgb="FF4F7F3A"/>
      <color rgb="FF1A0A94"/>
      <color rgb="FFA3D0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9525</xdr:colOff>
          <xdr:row>9</xdr:row>
          <xdr:rowOff>9525</xdr:rowOff>
        </xdr:to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295276</xdr:colOff>
      <xdr:row>8</xdr:row>
      <xdr:rowOff>0</xdr:rowOff>
    </xdr:from>
    <xdr:to>
      <xdr:col>4</xdr:col>
      <xdr:colOff>590551</xdr:colOff>
      <xdr:row>9</xdr:row>
      <xdr:rowOff>0</xdr:rowOff>
    </xdr:to>
    <xdr:sp macro="[0]!AddMore_GL" textlink="">
      <xdr:nvSpPr>
        <xdr:cNvPr id="3" name="Rectangle 2">
          <a:extLst>
            <a:ext uri="{FF2B5EF4-FFF2-40B4-BE49-F238E27FC236}">
              <a16:creationId xmlns:a16="http://schemas.microsoft.com/office/drawing/2014/main" id="{BA9CC7B1-FF79-127D-9375-029872513ED2}"/>
            </a:ext>
          </a:extLst>
        </xdr:cNvPr>
        <xdr:cNvSpPr/>
      </xdr:nvSpPr>
      <xdr:spPr>
        <a:xfrm>
          <a:off x="5210176" y="2552700"/>
          <a:ext cx="704850" cy="295275"/>
        </a:xfrm>
        <a:prstGeom prst="rect">
          <a:avLst/>
        </a:prstGeom>
        <a:solidFill>
          <a:srgbClr val="098126"/>
        </a:solidFill>
        <a:ln w="3175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PH" sz="1100" b="1">
              <a:latin typeface="Segoe UI Semibold" panose="020B0702040204020203" pitchFamily="34" charset="0"/>
              <a:cs typeface="Segoe UI Semibold" panose="020B0702040204020203" pitchFamily="34" charset="0"/>
            </a:rPr>
            <a:t>ADD</a:t>
          </a:r>
          <a:endParaRPr lang="en-PH" sz="1200" b="1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10</xdr:col>
      <xdr:colOff>19050</xdr:colOff>
      <xdr:row>1</xdr:row>
      <xdr:rowOff>8280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82731EB-B111-4F5E-BDED-A897BF7BEB99}"/>
            </a:ext>
          </a:extLst>
        </xdr:cNvPr>
        <xdr:cNvSpPr/>
      </xdr:nvSpPr>
      <xdr:spPr>
        <a:xfrm>
          <a:off x="1209675" y="0"/>
          <a:ext cx="9744075" cy="560730"/>
        </a:xfrm>
        <a:prstGeom prst="rect">
          <a:avLst/>
        </a:prstGeom>
        <a:gradFill flip="none" rotWithShape="1">
          <a:gsLst>
            <a:gs pos="10000">
              <a:srgbClr val="003E1C"/>
            </a:gs>
            <a:gs pos="48000">
              <a:srgbClr val="098126"/>
            </a:gs>
            <a:gs pos="96000">
              <a:srgbClr val="003E1C"/>
            </a:gs>
          </a:gsLst>
          <a:lin ang="2700000" scaled="1"/>
          <a:tileRect/>
        </a:gradFill>
        <a:ln w="3175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PH" sz="2800" b="1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TICKET FORM</a:t>
          </a:r>
        </a:p>
      </xdr:txBody>
    </xdr:sp>
    <xdr:clientData/>
  </xdr:twoCellAnchor>
  <xdr:twoCellAnchor>
    <xdr:from>
      <xdr:col>7</xdr:col>
      <xdr:colOff>357580</xdr:colOff>
      <xdr:row>16</xdr:row>
      <xdr:rowOff>101641</xdr:rowOff>
    </xdr:from>
    <xdr:to>
      <xdr:col>8</xdr:col>
      <xdr:colOff>626522</xdr:colOff>
      <xdr:row>17</xdr:row>
      <xdr:rowOff>311751</xdr:rowOff>
    </xdr:to>
    <xdr:sp macro="[0]!Submit_Form" textlink="">
      <xdr:nvSpPr>
        <xdr:cNvPr id="5" name="Rectangle 4">
          <a:extLst>
            <a:ext uri="{FF2B5EF4-FFF2-40B4-BE49-F238E27FC236}">
              <a16:creationId xmlns:a16="http://schemas.microsoft.com/office/drawing/2014/main" id="{F62A1870-A2D2-5930-97FC-B8681B331E45}"/>
            </a:ext>
          </a:extLst>
        </xdr:cNvPr>
        <xdr:cNvSpPr/>
      </xdr:nvSpPr>
      <xdr:spPr>
        <a:xfrm>
          <a:off x="7677917" y="4714310"/>
          <a:ext cx="1082313" cy="402750"/>
        </a:xfrm>
        <a:prstGeom prst="rect">
          <a:avLst/>
        </a:prstGeom>
        <a:gradFill flip="none" rotWithShape="1">
          <a:gsLst>
            <a:gs pos="10000">
              <a:srgbClr val="003E1C"/>
            </a:gs>
            <a:gs pos="48000">
              <a:srgbClr val="098126"/>
            </a:gs>
            <a:gs pos="96000">
              <a:srgbClr val="003E1C"/>
            </a:gs>
          </a:gsLst>
          <a:lin ang="2700000" scaled="1"/>
          <a:tileRect/>
        </a:gradFill>
        <a:ln w="3175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softEdge rad="127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PH" sz="1200" b="1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SUBMIT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485775</xdr:colOff>
          <xdr:row>2</xdr:row>
          <xdr:rowOff>104775</xdr:rowOff>
        </xdr:from>
        <xdr:to>
          <xdr:col>13</xdr:col>
          <xdr:colOff>228600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5</xdr:row>
          <xdr:rowOff>133350</xdr:rowOff>
        </xdr:from>
        <xdr:to>
          <xdr:col>13</xdr:col>
          <xdr:colOff>228600</xdr:colOff>
          <xdr:row>7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TICKET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98126"/>
        </a:solidFill>
        <a:ln w="3175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softEdge rad="12700"/>
        </a:effectLst>
      </a:spPr>
      <a:bodyPr rot="0" spcFirstLastPara="0" vertOverflow="clip" horzOverflow="clip" vert="horz" wrap="square" lIns="91440" tIns="45720" rIns="91440" bIns="45720" numCol="1" spcCol="0" rtlCol="0" fromWordArt="0" anchor="t" anchorCtr="0" forceAA="0" compatLnSpc="1">
        <a:prstTxWarp prst="textNoShape">
          <a:avLst/>
        </a:prstTxWarp>
        <a:noAutofit/>
      </a:bodyPr>
      <a:lstStyle>
        <a:defPPr algn="ctr">
          <a:defRPr sz="1100" b="1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29639-5FA6-4DF3-9D59-A465ECC7AF75}">
  <sheetPr codeName="Sheet2"/>
  <dimension ref="A1:R319"/>
  <sheetViews>
    <sheetView showGridLines="0" zoomScale="115" zoomScaleNormal="115" workbookViewId="0">
      <selection activeCell="H11" sqref="H11"/>
    </sheetView>
  </sheetViews>
  <sheetFormatPr defaultRowHeight="15" x14ac:dyDescent="0.25"/>
  <cols>
    <col min="1" max="1" width="18.140625" style="12" customWidth="1"/>
    <col min="2" max="2" width="18.28515625" style="39" customWidth="1"/>
    <col min="3" max="3" width="68.42578125" style="12" customWidth="1"/>
    <col min="4" max="4" width="6.140625" style="12" customWidth="1"/>
    <col min="5" max="6" width="9.140625" style="12" customWidth="1"/>
    <col min="7" max="7" width="10.7109375" style="12" bestFit="1" customWidth="1"/>
    <col min="8" max="8" width="12.140625" style="12" customWidth="1"/>
    <col min="9" max="9" width="10.5703125" style="12" bestFit="1" customWidth="1"/>
    <col min="10" max="10" width="3.140625" style="12" customWidth="1"/>
    <col min="11" max="12" width="9.140625" style="12" customWidth="1"/>
    <col min="13" max="13" width="14.42578125" style="12" hidden="1" customWidth="1"/>
    <col min="14" max="14" width="0" style="40" hidden="1" customWidth="1"/>
    <col min="15" max="16384" width="9.140625" style="12"/>
  </cols>
  <sheetData>
    <row r="1" spans="1:18" ht="43.5" customHeight="1" x14ac:dyDescent="0.25">
      <c r="A1" s="8"/>
      <c r="B1" s="9"/>
      <c r="C1" s="10"/>
      <c r="D1" s="10"/>
      <c r="E1" s="10"/>
      <c r="F1" s="10"/>
      <c r="G1" s="10"/>
      <c r="H1" s="10"/>
      <c r="I1" s="10"/>
      <c r="J1" s="10"/>
      <c r="K1" s="11"/>
      <c r="L1" s="11"/>
      <c r="M1" s="11"/>
    </row>
    <row r="2" spans="1:18" ht="21.75" customHeight="1" x14ac:dyDescent="0.25">
      <c r="A2" s="13"/>
      <c r="B2" s="14"/>
      <c r="C2" s="15"/>
      <c r="D2" s="15"/>
      <c r="E2" s="15"/>
      <c r="F2" s="15"/>
      <c r="G2" s="15"/>
      <c r="H2" s="15"/>
      <c r="I2" s="15"/>
      <c r="J2" s="16"/>
    </row>
    <row r="3" spans="1:18" ht="23.25" customHeight="1" x14ac:dyDescent="0.25">
      <c r="A3" s="17"/>
      <c r="B3" s="18" t="s">
        <v>22</v>
      </c>
      <c r="C3" s="41"/>
      <c r="D3" s="15"/>
      <c r="E3" s="15"/>
      <c r="F3" s="15"/>
      <c r="G3" s="15"/>
      <c r="H3" s="15"/>
      <c r="I3" s="15"/>
      <c r="J3" s="16"/>
    </row>
    <row r="4" spans="1:18" ht="23.25" customHeight="1" x14ac:dyDescent="0.25">
      <c r="A4" s="19"/>
      <c r="B4" s="14"/>
      <c r="C4" s="15"/>
      <c r="D4" s="15"/>
      <c r="E4" s="15"/>
      <c r="F4" s="15"/>
      <c r="G4" s="15"/>
      <c r="H4" s="15"/>
      <c r="I4" s="15"/>
      <c r="J4" s="16"/>
    </row>
    <row r="5" spans="1:18" ht="23.25" customHeight="1" x14ac:dyDescent="0.25">
      <c r="A5" s="17"/>
      <c r="B5" s="18" t="s">
        <v>6</v>
      </c>
      <c r="C5" s="41"/>
      <c r="D5" s="15"/>
      <c r="E5" s="15"/>
      <c r="F5" s="45" t="s">
        <v>7</v>
      </c>
      <c r="G5" s="43" t="s">
        <v>12</v>
      </c>
      <c r="H5" s="44">
        <v>15</v>
      </c>
      <c r="I5" s="41">
        <v>2026</v>
      </c>
      <c r="J5" s="16"/>
      <c r="M5" s="21">
        <f>IF(OR(G5="",H5="",I5=""),"",
   DATE(
     I5,
     MONTH(DATEVALUE(G5&amp;" 1")),
     MIN(
       H5,
       DAY(EOMONTH(DATE(O3,MONTH(DATEVALUE(G5&amp;" 1")),1),0))
     )
   )
)</f>
        <v>46127</v>
      </c>
      <c r="N5" s="40" t="s">
        <v>25</v>
      </c>
    </row>
    <row r="6" spans="1:18" ht="23.25" customHeight="1" x14ac:dyDescent="0.25">
      <c r="A6" s="19"/>
      <c r="B6" s="14"/>
      <c r="C6" s="15"/>
      <c r="D6" s="15"/>
      <c r="E6" s="15"/>
      <c r="F6" s="15"/>
      <c r="G6" s="15"/>
      <c r="H6" s="15"/>
      <c r="I6" s="15"/>
      <c r="J6" s="16"/>
    </row>
    <row r="7" spans="1:18" ht="23.25" hidden="1" customHeight="1" x14ac:dyDescent="0.25">
      <c r="A7" s="17"/>
      <c r="B7" s="14"/>
      <c r="C7" s="22"/>
      <c r="D7" s="15"/>
      <c r="E7" s="15"/>
      <c r="F7" s="20"/>
      <c r="G7" s="20"/>
      <c r="H7" s="23"/>
      <c r="I7" s="15"/>
      <c r="J7" s="16"/>
    </row>
    <row r="8" spans="1:18" ht="2.25" customHeight="1" x14ac:dyDescent="0.25">
      <c r="A8" s="19"/>
      <c r="B8" s="14"/>
      <c r="C8" s="15"/>
      <c r="D8" s="15"/>
      <c r="E8" s="15"/>
      <c r="F8" s="15"/>
      <c r="G8" s="20"/>
      <c r="H8" s="15"/>
      <c r="I8" s="15"/>
      <c r="J8" s="16"/>
      <c r="K8" s="46"/>
    </row>
    <row r="9" spans="1:18" ht="23.25" customHeight="1" x14ac:dyDescent="0.25">
      <c r="A9" s="17"/>
      <c r="B9" s="18" t="s">
        <v>8</v>
      </c>
      <c r="C9" s="24"/>
      <c r="D9" s="15"/>
      <c r="E9" s="15"/>
      <c r="F9" s="15"/>
      <c r="G9" s="20" t="s">
        <v>3</v>
      </c>
      <c r="H9" s="42"/>
      <c r="I9" s="15"/>
      <c r="J9" s="16"/>
      <c r="M9" s="25"/>
    </row>
    <row r="10" spans="1:18" ht="23.25" customHeight="1" x14ac:dyDescent="0.25">
      <c r="A10" s="26"/>
      <c r="B10" s="14"/>
      <c r="C10" s="15"/>
      <c r="D10" s="15"/>
      <c r="E10" s="15"/>
      <c r="F10" s="15"/>
      <c r="G10" s="15"/>
      <c r="H10" s="15"/>
      <c r="I10" s="15"/>
      <c r="J10" s="16"/>
      <c r="N10" s="12" t="s">
        <v>23</v>
      </c>
    </row>
    <row r="11" spans="1:18" ht="23.25" customHeight="1" x14ac:dyDescent="0.25">
      <c r="A11" s="27"/>
      <c r="B11" s="18" t="s">
        <v>40</v>
      </c>
      <c r="C11" s="41"/>
      <c r="D11" s="15"/>
      <c r="E11" s="15"/>
      <c r="F11" s="15"/>
      <c r="G11" s="20" t="s">
        <v>4</v>
      </c>
      <c r="H11" s="42"/>
      <c r="I11" s="15"/>
      <c r="J11" s="16"/>
      <c r="N11" s="12" t="s">
        <v>24</v>
      </c>
    </row>
    <row r="12" spans="1:18" ht="23.25" customHeight="1" x14ac:dyDescent="0.25">
      <c r="A12" s="19"/>
      <c r="B12" s="14"/>
      <c r="C12" s="15"/>
      <c r="D12" s="15"/>
      <c r="E12" s="15"/>
      <c r="F12" s="15"/>
      <c r="G12" s="15"/>
      <c r="H12" s="15"/>
      <c r="I12" s="15"/>
      <c r="J12" s="16"/>
      <c r="N12" s="12" t="s">
        <v>211</v>
      </c>
    </row>
    <row r="13" spans="1:18" ht="23.25" customHeight="1" x14ac:dyDescent="0.25">
      <c r="A13" s="17"/>
      <c r="B13" s="18" t="s">
        <v>39</v>
      </c>
      <c r="C13" s="41"/>
      <c r="D13" s="15"/>
      <c r="E13" s="15"/>
      <c r="F13" s="15"/>
      <c r="G13" s="15"/>
      <c r="H13" s="15"/>
      <c r="I13" s="15"/>
      <c r="J13" s="16"/>
      <c r="K13" s="28"/>
      <c r="N13" s="12" t="s">
        <v>209</v>
      </c>
    </row>
    <row r="14" spans="1:18" ht="23.25" customHeight="1" x14ac:dyDescent="0.25">
      <c r="A14" s="17"/>
      <c r="B14" s="29"/>
      <c r="C14" s="30"/>
      <c r="D14" s="30"/>
      <c r="E14" s="30"/>
      <c r="F14" s="30"/>
      <c r="G14" s="30"/>
      <c r="H14" s="30"/>
      <c r="I14" s="31"/>
      <c r="J14" s="16"/>
      <c r="R14" s="12" t="s">
        <v>25</v>
      </c>
    </row>
    <row r="15" spans="1:18" ht="28.5" customHeight="1" x14ac:dyDescent="0.3">
      <c r="A15" s="32"/>
      <c r="B15" s="33"/>
      <c r="C15" s="15"/>
      <c r="D15" s="15"/>
      <c r="E15" s="15"/>
      <c r="F15" s="15"/>
      <c r="G15" s="15"/>
      <c r="H15" s="15"/>
      <c r="I15" s="15"/>
      <c r="J15" s="16"/>
    </row>
    <row r="16" spans="1:18" ht="30" customHeight="1" x14ac:dyDescent="0.25">
      <c r="A16" s="19"/>
      <c r="B16" s="34" t="s">
        <v>5</v>
      </c>
      <c r="C16" s="62"/>
      <c r="D16" s="63"/>
      <c r="E16" s="63"/>
      <c r="F16" s="63"/>
      <c r="G16" s="63"/>
      <c r="H16" s="64"/>
      <c r="I16" s="35"/>
      <c r="J16" s="16"/>
    </row>
    <row r="17" spans="1:10" x14ac:dyDescent="0.25">
      <c r="A17" s="19"/>
      <c r="B17" s="14"/>
      <c r="C17" s="15"/>
      <c r="D17" s="15"/>
      <c r="E17" s="15"/>
      <c r="F17" s="15"/>
      <c r="G17" s="15"/>
      <c r="H17" s="15"/>
      <c r="I17" s="15"/>
      <c r="J17" s="16"/>
    </row>
    <row r="18" spans="1:10" ht="32.25" customHeight="1" thickBot="1" x14ac:dyDescent="0.3">
      <c r="A18" s="26"/>
      <c r="B18" s="36"/>
      <c r="C18" s="37"/>
      <c r="D18" s="37"/>
      <c r="E18" s="37"/>
      <c r="F18" s="37"/>
      <c r="G18" s="37"/>
      <c r="H18" s="37"/>
      <c r="I18" s="37"/>
      <c r="J18" s="38"/>
    </row>
    <row r="27" spans="1:10" x14ac:dyDescent="0.25">
      <c r="A27" s="12">
        <f>DAY(EOMONTH(DATE(I5,MONTH(DATEVALUE(G5 &amp; " 1")),1),0))</f>
        <v>30</v>
      </c>
    </row>
    <row r="28" spans="1:10" x14ac:dyDescent="0.25">
      <c r="A28" s="12" t="s">
        <v>9</v>
      </c>
    </row>
    <row r="29" spans="1:10" x14ac:dyDescent="0.25">
      <c r="A29" s="12" t="s">
        <v>10</v>
      </c>
    </row>
    <row r="30" spans="1:10" x14ac:dyDescent="0.25">
      <c r="A30" s="12" t="s">
        <v>11</v>
      </c>
    </row>
    <row r="31" spans="1:10" x14ac:dyDescent="0.25">
      <c r="A31" s="12" t="s">
        <v>12</v>
      </c>
    </row>
    <row r="32" spans="1:10" x14ac:dyDescent="0.25">
      <c r="A32" s="12" t="s">
        <v>13</v>
      </c>
    </row>
    <row r="33" spans="1:1" x14ac:dyDescent="0.25">
      <c r="A33" s="12" t="s">
        <v>14</v>
      </c>
    </row>
    <row r="34" spans="1:1" x14ac:dyDescent="0.25">
      <c r="A34" s="12" t="s">
        <v>15</v>
      </c>
    </row>
    <row r="35" spans="1:1" x14ac:dyDescent="0.25">
      <c r="A35" s="12" t="s">
        <v>16</v>
      </c>
    </row>
    <row r="36" spans="1:1" x14ac:dyDescent="0.25">
      <c r="A36" s="12" t="s">
        <v>17</v>
      </c>
    </row>
    <row r="37" spans="1:1" x14ac:dyDescent="0.25">
      <c r="A37" s="12" t="s">
        <v>18</v>
      </c>
    </row>
    <row r="38" spans="1:1" x14ac:dyDescent="0.25">
      <c r="A38" s="12" t="s">
        <v>19</v>
      </c>
    </row>
    <row r="39" spans="1:1" x14ac:dyDescent="0.25">
      <c r="A39" s="12" t="s">
        <v>20</v>
      </c>
    </row>
    <row r="41" spans="1:1" x14ac:dyDescent="0.25">
      <c r="A41" s="39">
        <v>1</v>
      </c>
    </row>
    <row r="42" spans="1:1" x14ac:dyDescent="0.25">
      <c r="A42" s="39">
        <v>2</v>
      </c>
    </row>
    <row r="43" spans="1:1" x14ac:dyDescent="0.25">
      <c r="A43" s="39">
        <v>3</v>
      </c>
    </row>
    <row r="44" spans="1:1" x14ac:dyDescent="0.25">
      <c r="A44" s="39">
        <v>4</v>
      </c>
    </row>
    <row r="45" spans="1:1" x14ac:dyDescent="0.25">
      <c r="A45" s="39">
        <v>6</v>
      </c>
    </row>
    <row r="46" spans="1:1" x14ac:dyDescent="0.25">
      <c r="A46" s="39">
        <v>7</v>
      </c>
    </row>
    <row r="47" spans="1:1" x14ac:dyDescent="0.25">
      <c r="A47" s="39">
        <v>8</v>
      </c>
    </row>
    <row r="48" spans="1:1" x14ac:dyDescent="0.25">
      <c r="A48" s="39">
        <v>9</v>
      </c>
    </row>
    <row r="49" spans="1:1" x14ac:dyDescent="0.25">
      <c r="A49" s="39">
        <v>10</v>
      </c>
    </row>
    <row r="50" spans="1:1" x14ac:dyDescent="0.25">
      <c r="A50" s="39">
        <v>11</v>
      </c>
    </row>
    <row r="51" spans="1:1" x14ac:dyDescent="0.25">
      <c r="A51" s="39">
        <v>12</v>
      </c>
    </row>
    <row r="52" spans="1:1" x14ac:dyDescent="0.25">
      <c r="A52" s="39">
        <v>13</v>
      </c>
    </row>
    <row r="53" spans="1:1" x14ac:dyDescent="0.25">
      <c r="A53" s="39">
        <v>14</v>
      </c>
    </row>
    <row r="54" spans="1:1" x14ac:dyDescent="0.25">
      <c r="A54" s="39">
        <v>15</v>
      </c>
    </row>
    <row r="55" spans="1:1" x14ac:dyDescent="0.25">
      <c r="A55" s="39">
        <v>16</v>
      </c>
    </row>
    <row r="56" spans="1:1" x14ac:dyDescent="0.25">
      <c r="A56" s="39">
        <v>17</v>
      </c>
    </row>
    <row r="57" spans="1:1" x14ac:dyDescent="0.25">
      <c r="A57" s="39">
        <v>18</v>
      </c>
    </row>
    <row r="58" spans="1:1" x14ac:dyDescent="0.25">
      <c r="A58" s="39">
        <v>19</v>
      </c>
    </row>
    <row r="59" spans="1:1" x14ac:dyDescent="0.25">
      <c r="A59" s="39">
        <v>20</v>
      </c>
    </row>
    <row r="60" spans="1:1" x14ac:dyDescent="0.25">
      <c r="A60" s="39">
        <v>21</v>
      </c>
    </row>
    <row r="61" spans="1:1" x14ac:dyDescent="0.25">
      <c r="A61" s="39">
        <v>22</v>
      </c>
    </row>
    <row r="62" spans="1:1" x14ac:dyDescent="0.25">
      <c r="A62" s="39">
        <v>23</v>
      </c>
    </row>
    <row r="63" spans="1:1" x14ac:dyDescent="0.25">
      <c r="A63" s="39">
        <v>24</v>
      </c>
    </row>
    <row r="64" spans="1:1" x14ac:dyDescent="0.25">
      <c r="A64" s="39">
        <v>25</v>
      </c>
    </row>
    <row r="65" spans="1:1" x14ac:dyDescent="0.25">
      <c r="A65" s="39">
        <v>26</v>
      </c>
    </row>
    <row r="66" spans="1:1" x14ac:dyDescent="0.25">
      <c r="A66" s="39">
        <v>27</v>
      </c>
    </row>
    <row r="67" spans="1:1" x14ac:dyDescent="0.25">
      <c r="A67" s="39">
        <v>28</v>
      </c>
    </row>
    <row r="68" spans="1:1" x14ac:dyDescent="0.25">
      <c r="A68" s="39">
        <v>29</v>
      </c>
    </row>
    <row r="69" spans="1:1" x14ac:dyDescent="0.25">
      <c r="A69" s="39">
        <v>30</v>
      </c>
    </row>
    <row r="70" spans="1:1" x14ac:dyDescent="0.25">
      <c r="A70" s="39">
        <v>31</v>
      </c>
    </row>
    <row r="72" spans="1:1" x14ac:dyDescent="0.25">
      <c r="A72" s="39"/>
    </row>
    <row r="73" spans="1:1" x14ac:dyDescent="0.25">
      <c r="A73" s="39"/>
    </row>
    <row r="74" spans="1:1" x14ac:dyDescent="0.25">
      <c r="A74" s="39"/>
    </row>
    <row r="75" spans="1:1" x14ac:dyDescent="0.25">
      <c r="A75" s="39"/>
    </row>
    <row r="76" spans="1:1" x14ac:dyDescent="0.25">
      <c r="A76" s="39">
        <v>2026</v>
      </c>
    </row>
    <row r="77" spans="1:1" x14ac:dyDescent="0.25">
      <c r="A77" s="39">
        <v>2027</v>
      </c>
    </row>
    <row r="78" spans="1:1" x14ac:dyDescent="0.25">
      <c r="A78" s="39">
        <v>2028</v>
      </c>
    </row>
    <row r="79" spans="1:1" x14ac:dyDescent="0.25">
      <c r="A79" s="39">
        <v>2029</v>
      </c>
    </row>
    <row r="80" spans="1:1" x14ac:dyDescent="0.25">
      <c r="A80" s="39">
        <v>2030</v>
      </c>
    </row>
    <row r="81" spans="1:1" x14ac:dyDescent="0.25">
      <c r="A81" s="39">
        <v>2031</v>
      </c>
    </row>
    <row r="82" spans="1:1" x14ac:dyDescent="0.25">
      <c r="A82" s="39">
        <v>2032</v>
      </c>
    </row>
    <row r="83" spans="1:1" x14ac:dyDescent="0.25">
      <c r="A83" s="39">
        <v>2033</v>
      </c>
    </row>
    <row r="84" spans="1:1" x14ac:dyDescent="0.25">
      <c r="A84" s="39">
        <v>2034</v>
      </c>
    </row>
    <row r="85" spans="1:1" x14ac:dyDescent="0.25">
      <c r="A85" s="39">
        <v>2035</v>
      </c>
    </row>
    <row r="86" spans="1:1" x14ac:dyDescent="0.25">
      <c r="A86" s="39"/>
    </row>
    <row r="87" spans="1:1" x14ac:dyDescent="0.25">
      <c r="A87" s="39"/>
    </row>
    <row r="88" spans="1:1" x14ac:dyDescent="0.25">
      <c r="A88" s="39"/>
    </row>
    <row r="89" spans="1:1" x14ac:dyDescent="0.25">
      <c r="A89" s="39"/>
    </row>
    <row r="90" spans="1:1" x14ac:dyDescent="0.25">
      <c r="A90" s="39"/>
    </row>
    <row r="91" spans="1:1" x14ac:dyDescent="0.25">
      <c r="A91" s="39"/>
    </row>
    <row r="92" spans="1:1" x14ac:dyDescent="0.25">
      <c r="A92" s="39"/>
    </row>
    <row r="93" spans="1:1" x14ac:dyDescent="0.25">
      <c r="A93" s="39"/>
    </row>
    <row r="94" spans="1:1" x14ac:dyDescent="0.25">
      <c r="A94" s="39"/>
    </row>
    <row r="95" spans="1:1" x14ac:dyDescent="0.25">
      <c r="A95" s="39"/>
    </row>
    <row r="96" spans="1:1" x14ac:dyDescent="0.25">
      <c r="A96" s="39"/>
    </row>
    <row r="97" spans="1:1" x14ac:dyDescent="0.25">
      <c r="A97" s="39"/>
    </row>
    <row r="98" spans="1:1" x14ac:dyDescent="0.25">
      <c r="A98" s="39"/>
    </row>
    <row r="99" spans="1:1" x14ac:dyDescent="0.25">
      <c r="A99" s="39"/>
    </row>
    <row r="100" spans="1:1" x14ac:dyDescent="0.25">
      <c r="A100" s="39"/>
    </row>
    <row r="101" spans="1:1" x14ac:dyDescent="0.25">
      <c r="A101" s="39"/>
    </row>
    <row r="102" spans="1:1" x14ac:dyDescent="0.25">
      <c r="A102" s="39"/>
    </row>
    <row r="103" spans="1:1" x14ac:dyDescent="0.25">
      <c r="A103" s="39"/>
    </row>
    <row r="104" spans="1:1" x14ac:dyDescent="0.25">
      <c r="A104" s="39"/>
    </row>
    <row r="105" spans="1:1" x14ac:dyDescent="0.25">
      <c r="A105" s="39"/>
    </row>
    <row r="106" spans="1:1" x14ac:dyDescent="0.25">
      <c r="A106" s="39"/>
    </row>
    <row r="107" spans="1:1" x14ac:dyDescent="0.25">
      <c r="A107" s="39"/>
    </row>
    <row r="108" spans="1:1" x14ac:dyDescent="0.25">
      <c r="A108" s="39"/>
    </row>
    <row r="109" spans="1:1" x14ac:dyDescent="0.25">
      <c r="A109" s="39"/>
    </row>
    <row r="110" spans="1:1" x14ac:dyDescent="0.25">
      <c r="A110" s="39"/>
    </row>
    <row r="111" spans="1:1" x14ac:dyDescent="0.25">
      <c r="A111" s="39"/>
    </row>
    <row r="112" spans="1:1" x14ac:dyDescent="0.25">
      <c r="A112" s="39"/>
    </row>
    <row r="113" spans="1:1" x14ac:dyDescent="0.25">
      <c r="A113" s="39"/>
    </row>
    <row r="114" spans="1:1" x14ac:dyDescent="0.25">
      <c r="A114" s="39"/>
    </row>
    <row r="115" spans="1:1" x14ac:dyDescent="0.25">
      <c r="A115" s="39"/>
    </row>
    <row r="116" spans="1:1" x14ac:dyDescent="0.25">
      <c r="A116" s="39"/>
    </row>
    <row r="117" spans="1:1" x14ac:dyDescent="0.25">
      <c r="A117" s="39"/>
    </row>
    <row r="118" spans="1:1" x14ac:dyDescent="0.25">
      <c r="A118" s="39"/>
    </row>
    <row r="119" spans="1:1" x14ac:dyDescent="0.25">
      <c r="A119" s="39"/>
    </row>
    <row r="120" spans="1:1" x14ac:dyDescent="0.25">
      <c r="A120" s="39"/>
    </row>
    <row r="121" spans="1:1" x14ac:dyDescent="0.25">
      <c r="A121" s="39"/>
    </row>
    <row r="122" spans="1:1" x14ac:dyDescent="0.25">
      <c r="A122" s="39"/>
    </row>
    <row r="123" spans="1:1" x14ac:dyDescent="0.25">
      <c r="A123" s="39"/>
    </row>
    <row r="124" spans="1:1" x14ac:dyDescent="0.25">
      <c r="A124" s="39"/>
    </row>
    <row r="125" spans="1:1" x14ac:dyDescent="0.25">
      <c r="A125" s="39"/>
    </row>
    <row r="126" spans="1:1" x14ac:dyDescent="0.25">
      <c r="A126" s="39"/>
    </row>
    <row r="127" spans="1:1" x14ac:dyDescent="0.25">
      <c r="A127" s="39"/>
    </row>
    <row r="128" spans="1:1" x14ac:dyDescent="0.25">
      <c r="A128" s="39"/>
    </row>
    <row r="129" spans="1:1" x14ac:dyDescent="0.25">
      <c r="A129" s="39"/>
    </row>
    <row r="130" spans="1:1" x14ac:dyDescent="0.25">
      <c r="A130" s="39"/>
    </row>
    <row r="131" spans="1:1" x14ac:dyDescent="0.25">
      <c r="A131" s="39"/>
    </row>
    <row r="132" spans="1:1" x14ac:dyDescent="0.25">
      <c r="A132" s="39"/>
    </row>
    <row r="133" spans="1:1" x14ac:dyDescent="0.25">
      <c r="A133" s="39"/>
    </row>
    <row r="134" spans="1:1" x14ac:dyDescent="0.25">
      <c r="A134" s="39"/>
    </row>
    <row r="135" spans="1:1" x14ac:dyDescent="0.25">
      <c r="A135" s="39"/>
    </row>
    <row r="136" spans="1:1" x14ac:dyDescent="0.25">
      <c r="A136" s="39"/>
    </row>
    <row r="137" spans="1:1" x14ac:dyDescent="0.25">
      <c r="A137" s="39"/>
    </row>
    <row r="138" spans="1:1" x14ac:dyDescent="0.25">
      <c r="A138" s="39"/>
    </row>
    <row r="139" spans="1:1" x14ac:dyDescent="0.25">
      <c r="A139" s="39"/>
    </row>
    <row r="140" spans="1:1" x14ac:dyDescent="0.25">
      <c r="A140" s="39"/>
    </row>
    <row r="141" spans="1:1" x14ac:dyDescent="0.25">
      <c r="A141" s="39"/>
    </row>
    <row r="142" spans="1:1" x14ac:dyDescent="0.25">
      <c r="A142" s="39"/>
    </row>
    <row r="143" spans="1:1" x14ac:dyDescent="0.25">
      <c r="A143" s="39"/>
    </row>
    <row r="144" spans="1:1" x14ac:dyDescent="0.25">
      <c r="A144" s="39"/>
    </row>
    <row r="145" spans="1:4" x14ac:dyDescent="0.25">
      <c r="A145" s="39"/>
    </row>
    <row r="146" spans="1:4" x14ac:dyDescent="0.25">
      <c r="A146" s="39"/>
    </row>
    <row r="147" spans="1:4" x14ac:dyDescent="0.25">
      <c r="A147" s="39"/>
    </row>
    <row r="148" spans="1:4" x14ac:dyDescent="0.25">
      <c r="A148" s="39"/>
    </row>
    <row r="152" spans="1:4" x14ac:dyDescent="0.25">
      <c r="A152" s="12" t="s">
        <v>32</v>
      </c>
      <c r="D152" s="12" t="s">
        <v>41</v>
      </c>
    </row>
    <row r="153" spans="1:4" x14ac:dyDescent="0.25">
      <c r="A153" s="12" t="s">
        <v>1</v>
      </c>
      <c r="D153" s="12" t="s">
        <v>72</v>
      </c>
    </row>
    <row r="154" spans="1:4" x14ac:dyDescent="0.25">
      <c r="A154" s="12" t="s">
        <v>33</v>
      </c>
      <c r="D154" s="12" t="s">
        <v>43</v>
      </c>
    </row>
    <row r="155" spans="1:4" x14ac:dyDescent="0.25">
      <c r="A155" s="12" t="s">
        <v>34</v>
      </c>
      <c r="D155" s="12" t="s">
        <v>42</v>
      </c>
    </row>
    <row r="156" spans="1:4" x14ac:dyDescent="0.25">
      <c r="A156" s="12" t="s">
        <v>35</v>
      </c>
      <c r="D156" s="12" t="s">
        <v>44</v>
      </c>
    </row>
    <row r="157" spans="1:4" x14ac:dyDescent="0.25">
      <c r="A157" s="12" t="s">
        <v>36</v>
      </c>
      <c r="D157" s="12" t="s">
        <v>45</v>
      </c>
    </row>
    <row r="158" spans="1:4" x14ac:dyDescent="0.25">
      <c r="A158" s="12" t="s">
        <v>26</v>
      </c>
      <c r="D158" s="12" t="s">
        <v>46</v>
      </c>
    </row>
    <row r="159" spans="1:4" x14ac:dyDescent="0.25">
      <c r="A159" s="12" t="s">
        <v>27</v>
      </c>
      <c r="D159" s="12" t="s">
        <v>47</v>
      </c>
    </row>
    <row r="160" spans="1:4" x14ac:dyDescent="0.25">
      <c r="A160" s="12" t="s">
        <v>28</v>
      </c>
      <c r="D160" s="12" t="s">
        <v>48</v>
      </c>
    </row>
    <row r="161" spans="1:4" x14ac:dyDescent="0.25">
      <c r="A161" s="12" t="s">
        <v>29</v>
      </c>
      <c r="D161" s="12" t="s">
        <v>49</v>
      </c>
    </row>
    <row r="162" spans="1:4" x14ac:dyDescent="0.25">
      <c r="A162" s="12" t="s">
        <v>37</v>
      </c>
      <c r="D162" s="12" t="s">
        <v>50</v>
      </c>
    </row>
    <row r="163" spans="1:4" x14ac:dyDescent="0.25">
      <c r="A163" s="12" t="s">
        <v>30</v>
      </c>
      <c r="D163" s="12" t="s">
        <v>51</v>
      </c>
    </row>
    <row r="164" spans="1:4" x14ac:dyDescent="0.25">
      <c r="A164" s="12" t="s">
        <v>38</v>
      </c>
      <c r="D164" s="12" t="s">
        <v>52</v>
      </c>
    </row>
    <row r="165" spans="1:4" x14ac:dyDescent="0.25">
      <c r="A165" s="12" t="s">
        <v>31</v>
      </c>
      <c r="D165" s="12" t="s">
        <v>70</v>
      </c>
    </row>
    <row r="166" spans="1:4" x14ac:dyDescent="0.25">
      <c r="D166" s="12" t="s">
        <v>53</v>
      </c>
    </row>
    <row r="167" spans="1:4" x14ac:dyDescent="0.25">
      <c r="D167" s="12" t="s">
        <v>54</v>
      </c>
    </row>
    <row r="168" spans="1:4" x14ac:dyDescent="0.25">
      <c r="D168" s="12" t="s">
        <v>55</v>
      </c>
    </row>
    <row r="169" spans="1:4" x14ac:dyDescent="0.25">
      <c r="D169" s="12" t="s">
        <v>71</v>
      </c>
    </row>
    <row r="170" spans="1:4" x14ac:dyDescent="0.25">
      <c r="D170" s="12" t="s">
        <v>57</v>
      </c>
    </row>
    <row r="171" spans="1:4" x14ac:dyDescent="0.25">
      <c r="D171" s="12" t="s">
        <v>58</v>
      </c>
    </row>
    <row r="172" spans="1:4" x14ac:dyDescent="0.25">
      <c r="D172" s="12" t="s">
        <v>59</v>
      </c>
    </row>
    <row r="173" spans="1:4" x14ac:dyDescent="0.25">
      <c r="D173" s="12" t="s">
        <v>60</v>
      </c>
    </row>
    <row r="174" spans="1:4" x14ac:dyDescent="0.25">
      <c r="D174" s="12" t="s">
        <v>61</v>
      </c>
    </row>
    <row r="175" spans="1:4" x14ac:dyDescent="0.25">
      <c r="D175" s="12" t="s">
        <v>62</v>
      </c>
    </row>
    <row r="176" spans="1:4" x14ac:dyDescent="0.25">
      <c r="D176" s="12" t="s">
        <v>63</v>
      </c>
    </row>
    <row r="177" spans="4:4" x14ac:dyDescent="0.25">
      <c r="D177" s="12" t="s">
        <v>64</v>
      </c>
    </row>
    <row r="178" spans="4:4" x14ac:dyDescent="0.25">
      <c r="D178" s="12" t="s">
        <v>65</v>
      </c>
    </row>
    <row r="179" spans="4:4" x14ac:dyDescent="0.25">
      <c r="D179" s="12" t="s">
        <v>66</v>
      </c>
    </row>
    <row r="180" spans="4:4" x14ac:dyDescent="0.25">
      <c r="D180" s="12" t="s">
        <v>67</v>
      </c>
    </row>
    <row r="181" spans="4:4" x14ac:dyDescent="0.25">
      <c r="D181" s="12" t="s">
        <v>68</v>
      </c>
    </row>
    <row r="182" spans="4:4" x14ac:dyDescent="0.25">
      <c r="D182" s="12" t="s">
        <v>69</v>
      </c>
    </row>
    <row r="183" spans="4:4" x14ac:dyDescent="0.25">
      <c r="D183" s="12" t="s">
        <v>56</v>
      </c>
    </row>
    <row r="184" spans="4:4" x14ac:dyDescent="0.25">
      <c r="D184" s="12" t="s">
        <v>73</v>
      </c>
    </row>
    <row r="185" spans="4:4" x14ac:dyDescent="0.25">
      <c r="D185" s="12" t="s">
        <v>74</v>
      </c>
    </row>
    <row r="186" spans="4:4" x14ac:dyDescent="0.25">
      <c r="D186" s="12" t="s">
        <v>75</v>
      </c>
    </row>
    <row r="187" spans="4:4" x14ac:dyDescent="0.25">
      <c r="D187" s="12" t="s">
        <v>76</v>
      </c>
    </row>
    <row r="188" spans="4:4" x14ac:dyDescent="0.25">
      <c r="D188" s="12" t="s">
        <v>130</v>
      </c>
    </row>
    <row r="189" spans="4:4" x14ac:dyDescent="0.25">
      <c r="D189" s="12" t="s">
        <v>77</v>
      </c>
    </row>
    <row r="190" spans="4:4" x14ac:dyDescent="0.25">
      <c r="D190" s="12" t="s">
        <v>78</v>
      </c>
    </row>
    <row r="191" spans="4:4" x14ac:dyDescent="0.25">
      <c r="D191" s="12" t="s">
        <v>79</v>
      </c>
    </row>
    <row r="192" spans="4:4" x14ac:dyDescent="0.25">
      <c r="D192" s="12" t="s">
        <v>80</v>
      </c>
    </row>
    <row r="193" spans="4:4" x14ac:dyDescent="0.25">
      <c r="D193" s="12" t="s">
        <v>81</v>
      </c>
    </row>
    <row r="194" spans="4:4" x14ac:dyDescent="0.25">
      <c r="D194" s="12" t="s">
        <v>82</v>
      </c>
    </row>
    <row r="195" spans="4:4" x14ac:dyDescent="0.25">
      <c r="D195" s="12" t="s">
        <v>83</v>
      </c>
    </row>
    <row r="196" spans="4:4" x14ac:dyDescent="0.25">
      <c r="D196" s="12" t="s">
        <v>84</v>
      </c>
    </row>
    <row r="197" spans="4:4" x14ac:dyDescent="0.25">
      <c r="D197" s="12" t="s">
        <v>85</v>
      </c>
    </row>
    <row r="198" spans="4:4" x14ac:dyDescent="0.25">
      <c r="D198" s="12" t="s">
        <v>86</v>
      </c>
    </row>
    <row r="199" spans="4:4" x14ac:dyDescent="0.25">
      <c r="D199" s="12" t="s">
        <v>87</v>
      </c>
    </row>
    <row r="200" spans="4:4" x14ac:dyDescent="0.25">
      <c r="D200" s="12" t="s">
        <v>89</v>
      </c>
    </row>
    <row r="201" spans="4:4" x14ac:dyDescent="0.25">
      <c r="D201" s="12" t="s">
        <v>88</v>
      </c>
    </row>
    <row r="202" spans="4:4" x14ac:dyDescent="0.25">
      <c r="D202" s="12" t="s">
        <v>90</v>
      </c>
    </row>
    <row r="203" spans="4:4" x14ac:dyDescent="0.25">
      <c r="D203" s="12" t="s">
        <v>91</v>
      </c>
    </row>
    <row r="204" spans="4:4" x14ac:dyDescent="0.25">
      <c r="D204" s="12" t="s">
        <v>92</v>
      </c>
    </row>
    <row r="205" spans="4:4" x14ac:dyDescent="0.25">
      <c r="D205" s="12" t="s">
        <v>93</v>
      </c>
    </row>
    <row r="206" spans="4:4" x14ac:dyDescent="0.25">
      <c r="D206" s="12" t="s">
        <v>94</v>
      </c>
    </row>
    <row r="207" spans="4:4" x14ac:dyDescent="0.25">
      <c r="D207" s="12" t="s">
        <v>95</v>
      </c>
    </row>
    <row r="208" spans="4:4" x14ac:dyDescent="0.25">
      <c r="D208" s="12" t="s">
        <v>96</v>
      </c>
    </row>
    <row r="209" spans="4:4" x14ac:dyDescent="0.25">
      <c r="D209" s="12" t="s">
        <v>97</v>
      </c>
    </row>
    <row r="210" spans="4:4" x14ac:dyDescent="0.25">
      <c r="D210" s="12" t="s">
        <v>98</v>
      </c>
    </row>
    <row r="211" spans="4:4" x14ac:dyDescent="0.25">
      <c r="D211" s="12" t="s">
        <v>99</v>
      </c>
    </row>
    <row r="212" spans="4:4" x14ac:dyDescent="0.25">
      <c r="D212" s="12" t="s">
        <v>100</v>
      </c>
    </row>
    <row r="213" spans="4:4" x14ac:dyDescent="0.25">
      <c r="D213" s="12" t="s">
        <v>101</v>
      </c>
    </row>
    <row r="214" spans="4:4" x14ac:dyDescent="0.25">
      <c r="D214" s="12" t="s">
        <v>102</v>
      </c>
    </row>
    <row r="215" spans="4:4" x14ac:dyDescent="0.25">
      <c r="D215" s="12" t="s">
        <v>103</v>
      </c>
    </row>
    <row r="216" spans="4:4" x14ac:dyDescent="0.25">
      <c r="D216" s="12" t="s">
        <v>104</v>
      </c>
    </row>
    <row r="217" spans="4:4" x14ac:dyDescent="0.25">
      <c r="D217" s="12" t="s">
        <v>105</v>
      </c>
    </row>
    <row r="218" spans="4:4" x14ac:dyDescent="0.25">
      <c r="D218" s="12" t="s">
        <v>106</v>
      </c>
    </row>
    <row r="219" spans="4:4" x14ac:dyDescent="0.25">
      <c r="D219" s="12" t="s">
        <v>107</v>
      </c>
    </row>
    <row r="220" spans="4:4" x14ac:dyDescent="0.25">
      <c r="D220" s="12" t="s">
        <v>108</v>
      </c>
    </row>
    <row r="221" spans="4:4" x14ac:dyDescent="0.25">
      <c r="D221" s="12" t="s">
        <v>109</v>
      </c>
    </row>
    <row r="222" spans="4:4" x14ac:dyDescent="0.25">
      <c r="D222" s="12" t="s">
        <v>110</v>
      </c>
    </row>
    <row r="223" spans="4:4" x14ac:dyDescent="0.25">
      <c r="D223" s="12" t="s">
        <v>111</v>
      </c>
    </row>
    <row r="224" spans="4:4" x14ac:dyDescent="0.25">
      <c r="D224" s="12" t="s">
        <v>112</v>
      </c>
    </row>
    <row r="225" spans="4:4" x14ac:dyDescent="0.25">
      <c r="D225" s="12" t="s">
        <v>113</v>
      </c>
    </row>
    <row r="226" spans="4:4" x14ac:dyDescent="0.25">
      <c r="D226" s="12" t="s">
        <v>114</v>
      </c>
    </row>
    <row r="227" spans="4:4" x14ac:dyDescent="0.25">
      <c r="D227" s="12" t="s">
        <v>115</v>
      </c>
    </row>
    <row r="228" spans="4:4" x14ac:dyDescent="0.25">
      <c r="D228" s="12" t="s">
        <v>116</v>
      </c>
    </row>
    <row r="229" spans="4:4" x14ac:dyDescent="0.25">
      <c r="D229" s="12" t="s">
        <v>117</v>
      </c>
    </row>
    <row r="230" spans="4:4" x14ac:dyDescent="0.25">
      <c r="D230" s="12" t="s">
        <v>118</v>
      </c>
    </row>
    <row r="231" spans="4:4" x14ac:dyDescent="0.25">
      <c r="D231" s="12" t="s">
        <v>119</v>
      </c>
    </row>
    <row r="232" spans="4:4" x14ac:dyDescent="0.25">
      <c r="D232" s="12" t="s">
        <v>120</v>
      </c>
    </row>
    <row r="233" spans="4:4" x14ac:dyDescent="0.25">
      <c r="D233" s="12" t="s">
        <v>121</v>
      </c>
    </row>
    <row r="234" spans="4:4" x14ac:dyDescent="0.25">
      <c r="D234" s="12" t="s">
        <v>122</v>
      </c>
    </row>
    <row r="235" spans="4:4" x14ac:dyDescent="0.25">
      <c r="D235" s="12" t="s">
        <v>123</v>
      </c>
    </row>
    <row r="236" spans="4:4" x14ac:dyDescent="0.25">
      <c r="D236" s="12" t="s">
        <v>124</v>
      </c>
    </row>
    <row r="237" spans="4:4" x14ac:dyDescent="0.25">
      <c r="D237" s="12" t="s">
        <v>125</v>
      </c>
    </row>
    <row r="238" spans="4:4" x14ac:dyDescent="0.25">
      <c r="D238" s="12" t="s">
        <v>126</v>
      </c>
    </row>
    <row r="239" spans="4:4" x14ac:dyDescent="0.25">
      <c r="D239" s="12" t="s">
        <v>127</v>
      </c>
    </row>
    <row r="240" spans="4:4" x14ac:dyDescent="0.25">
      <c r="D240" s="12" t="s">
        <v>128</v>
      </c>
    </row>
    <row r="241" spans="4:4" x14ac:dyDescent="0.25">
      <c r="D241" s="12" t="s">
        <v>129</v>
      </c>
    </row>
    <row r="242" spans="4:4" x14ac:dyDescent="0.25">
      <c r="D242" s="12" t="s">
        <v>131</v>
      </c>
    </row>
    <row r="243" spans="4:4" x14ac:dyDescent="0.25">
      <c r="D243" s="12" t="s">
        <v>132</v>
      </c>
    </row>
    <row r="244" spans="4:4" x14ac:dyDescent="0.25">
      <c r="D244" s="12" t="s">
        <v>133</v>
      </c>
    </row>
    <row r="245" spans="4:4" x14ac:dyDescent="0.25">
      <c r="D245" s="12" t="s">
        <v>134</v>
      </c>
    </row>
    <row r="246" spans="4:4" x14ac:dyDescent="0.25">
      <c r="D246" s="12" t="s">
        <v>135</v>
      </c>
    </row>
    <row r="247" spans="4:4" x14ac:dyDescent="0.25">
      <c r="D247" s="12" t="s">
        <v>136</v>
      </c>
    </row>
    <row r="248" spans="4:4" x14ac:dyDescent="0.25">
      <c r="D248" s="12" t="s">
        <v>137</v>
      </c>
    </row>
    <row r="249" spans="4:4" x14ac:dyDescent="0.25">
      <c r="D249" s="12" t="s">
        <v>138</v>
      </c>
    </row>
    <row r="250" spans="4:4" x14ac:dyDescent="0.25">
      <c r="D250" s="12" t="s">
        <v>139</v>
      </c>
    </row>
    <row r="251" spans="4:4" x14ac:dyDescent="0.25">
      <c r="D251" s="12" t="s">
        <v>140</v>
      </c>
    </row>
    <row r="252" spans="4:4" x14ac:dyDescent="0.25">
      <c r="D252" s="12" t="s">
        <v>141</v>
      </c>
    </row>
    <row r="253" spans="4:4" x14ac:dyDescent="0.25">
      <c r="D253" s="12" t="s">
        <v>142</v>
      </c>
    </row>
    <row r="254" spans="4:4" x14ac:dyDescent="0.25">
      <c r="D254" s="12" t="s">
        <v>143</v>
      </c>
    </row>
    <row r="255" spans="4:4" x14ac:dyDescent="0.25">
      <c r="D255" s="12" t="s">
        <v>144</v>
      </c>
    </row>
    <row r="256" spans="4:4" x14ac:dyDescent="0.25">
      <c r="D256" s="12" t="s">
        <v>145</v>
      </c>
    </row>
    <row r="257" spans="4:4" x14ac:dyDescent="0.25">
      <c r="D257" s="12" t="s">
        <v>146</v>
      </c>
    </row>
    <row r="258" spans="4:4" x14ac:dyDescent="0.25">
      <c r="D258" s="12" t="s">
        <v>147</v>
      </c>
    </row>
    <row r="259" spans="4:4" x14ac:dyDescent="0.25">
      <c r="D259" s="12" t="s">
        <v>148</v>
      </c>
    </row>
    <row r="260" spans="4:4" x14ac:dyDescent="0.25">
      <c r="D260" s="12" t="s">
        <v>149</v>
      </c>
    </row>
    <row r="261" spans="4:4" x14ac:dyDescent="0.25">
      <c r="D261" s="12" t="s">
        <v>150</v>
      </c>
    </row>
    <row r="262" spans="4:4" x14ac:dyDescent="0.25">
      <c r="D262" s="12" t="s">
        <v>151</v>
      </c>
    </row>
    <row r="263" spans="4:4" x14ac:dyDescent="0.25">
      <c r="D263" s="12" t="s">
        <v>152</v>
      </c>
    </row>
    <row r="264" spans="4:4" x14ac:dyDescent="0.25">
      <c r="D264" s="12" t="s">
        <v>153</v>
      </c>
    </row>
    <row r="265" spans="4:4" x14ac:dyDescent="0.25">
      <c r="D265" s="12" t="s">
        <v>154</v>
      </c>
    </row>
    <row r="266" spans="4:4" x14ac:dyDescent="0.25">
      <c r="D266" s="12" t="s">
        <v>155</v>
      </c>
    </row>
    <row r="267" spans="4:4" x14ac:dyDescent="0.25">
      <c r="D267" s="12" t="s">
        <v>156</v>
      </c>
    </row>
    <row r="268" spans="4:4" x14ac:dyDescent="0.25">
      <c r="D268" s="12" t="s">
        <v>157</v>
      </c>
    </row>
    <row r="269" spans="4:4" x14ac:dyDescent="0.25">
      <c r="D269" s="12" t="s">
        <v>158</v>
      </c>
    </row>
    <row r="270" spans="4:4" x14ac:dyDescent="0.25">
      <c r="D270" s="12" t="s">
        <v>159</v>
      </c>
    </row>
    <row r="271" spans="4:4" x14ac:dyDescent="0.25">
      <c r="D271" s="12" t="s">
        <v>160</v>
      </c>
    </row>
    <row r="272" spans="4:4" x14ac:dyDescent="0.25">
      <c r="D272" s="12" t="s">
        <v>161</v>
      </c>
    </row>
    <row r="273" spans="4:4" x14ac:dyDescent="0.25">
      <c r="D273" s="12" t="s">
        <v>162</v>
      </c>
    </row>
    <row r="274" spans="4:4" x14ac:dyDescent="0.25">
      <c r="D274" s="12" t="s">
        <v>163</v>
      </c>
    </row>
    <row r="275" spans="4:4" x14ac:dyDescent="0.25">
      <c r="D275" s="12" t="s">
        <v>164</v>
      </c>
    </row>
    <row r="276" spans="4:4" x14ac:dyDescent="0.25">
      <c r="D276" s="12" t="s">
        <v>165</v>
      </c>
    </row>
    <row r="277" spans="4:4" x14ac:dyDescent="0.25">
      <c r="D277" s="12" t="s">
        <v>166</v>
      </c>
    </row>
    <row r="278" spans="4:4" x14ac:dyDescent="0.25">
      <c r="D278" s="12" t="s">
        <v>167</v>
      </c>
    </row>
    <row r="279" spans="4:4" x14ac:dyDescent="0.25">
      <c r="D279" s="12" t="s">
        <v>168</v>
      </c>
    </row>
    <row r="280" spans="4:4" x14ac:dyDescent="0.25">
      <c r="D280" s="12" t="s">
        <v>169</v>
      </c>
    </row>
    <row r="281" spans="4:4" x14ac:dyDescent="0.25">
      <c r="D281" s="12" t="s">
        <v>170</v>
      </c>
    </row>
    <row r="282" spans="4:4" x14ac:dyDescent="0.25">
      <c r="D282" s="12" t="s">
        <v>171</v>
      </c>
    </row>
    <row r="283" spans="4:4" x14ac:dyDescent="0.25">
      <c r="D283" s="12" t="s">
        <v>172</v>
      </c>
    </row>
    <row r="284" spans="4:4" x14ac:dyDescent="0.25">
      <c r="D284" s="12" t="s">
        <v>173</v>
      </c>
    </row>
    <row r="285" spans="4:4" x14ac:dyDescent="0.25">
      <c r="D285" s="12" t="s">
        <v>174</v>
      </c>
    </row>
    <row r="286" spans="4:4" x14ac:dyDescent="0.25">
      <c r="D286" s="12" t="s">
        <v>175</v>
      </c>
    </row>
    <row r="287" spans="4:4" x14ac:dyDescent="0.25">
      <c r="D287" s="12" t="s">
        <v>176</v>
      </c>
    </row>
    <row r="288" spans="4:4" x14ac:dyDescent="0.25">
      <c r="D288" s="12" t="s">
        <v>177</v>
      </c>
    </row>
    <row r="289" spans="4:4" x14ac:dyDescent="0.25">
      <c r="D289" s="12" t="s">
        <v>178</v>
      </c>
    </row>
    <row r="290" spans="4:4" x14ac:dyDescent="0.25">
      <c r="D290" s="12" t="s">
        <v>179</v>
      </c>
    </row>
    <row r="291" spans="4:4" x14ac:dyDescent="0.25">
      <c r="D291" s="12" t="s">
        <v>180</v>
      </c>
    </row>
    <row r="292" spans="4:4" x14ac:dyDescent="0.25">
      <c r="D292" s="12" t="s">
        <v>181</v>
      </c>
    </row>
    <row r="293" spans="4:4" x14ac:dyDescent="0.25">
      <c r="D293" s="12" t="s">
        <v>182</v>
      </c>
    </row>
    <row r="294" spans="4:4" x14ac:dyDescent="0.25">
      <c r="D294" s="12" t="s">
        <v>183</v>
      </c>
    </row>
    <row r="295" spans="4:4" x14ac:dyDescent="0.25">
      <c r="D295" s="12" t="s">
        <v>184</v>
      </c>
    </row>
    <row r="296" spans="4:4" x14ac:dyDescent="0.25">
      <c r="D296" s="12" t="s">
        <v>185</v>
      </c>
    </row>
    <row r="297" spans="4:4" x14ac:dyDescent="0.25">
      <c r="D297" s="12" t="s">
        <v>186</v>
      </c>
    </row>
    <row r="298" spans="4:4" x14ac:dyDescent="0.25">
      <c r="D298" s="12" t="s">
        <v>187</v>
      </c>
    </row>
    <row r="299" spans="4:4" x14ac:dyDescent="0.25">
      <c r="D299" s="12" t="s">
        <v>188</v>
      </c>
    </row>
    <row r="300" spans="4:4" x14ac:dyDescent="0.25">
      <c r="D300" s="12" t="s">
        <v>189</v>
      </c>
    </row>
    <row r="301" spans="4:4" x14ac:dyDescent="0.25">
      <c r="D301" s="12" t="s">
        <v>190</v>
      </c>
    </row>
    <row r="302" spans="4:4" x14ac:dyDescent="0.25">
      <c r="D302" s="12" t="s">
        <v>191</v>
      </c>
    </row>
    <row r="303" spans="4:4" x14ac:dyDescent="0.25">
      <c r="D303" s="12" t="s">
        <v>192</v>
      </c>
    </row>
    <row r="304" spans="4:4" x14ac:dyDescent="0.25">
      <c r="D304" s="12" t="s">
        <v>193</v>
      </c>
    </row>
    <row r="305" spans="4:4" x14ac:dyDescent="0.25">
      <c r="D305" s="12" t="s">
        <v>194</v>
      </c>
    </row>
    <row r="306" spans="4:4" x14ac:dyDescent="0.25">
      <c r="D306" s="12" t="s">
        <v>195</v>
      </c>
    </row>
    <row r="307" spans="4:4" x14ac:dyDescent="0.25">
      <c r="D307" s="12" t="s">
        <v>196</v>
      </c>
    </row>
    <row r="308" spans="4:4" x14ac:dyDescent="0.25">
      <c r="D308" s="12" t="s">
        <v>197</v>
      </c>
    </row>
    <row r="309" spans="4:4" x14ac:dyDescent="0.25">
      <c r="D309" s="12" t="s">
        <v>198</v>
      </c>
    </row>
    <row r="310" spans="4:4" x14ac:dyDescent="0.25">
      <c r="D310" s="12" t="s">
        <v>199</v>
      </c>
    </row>
    <row r="311" spans="4:4" x14ac:dyDescent="0.25">
      <c r="D311" s="12" t="s">
        <v>200</v>
      </c>
    </row>
    <row r="312" spans="4:4" x14ac:dyDescent="0.25">
      <c r="D312" s="12" t="s">
        <v>201</v>
      </c>
    </row>
    <row r="313" spans="4:4" x14ac:dyDescent="0.25">
      <c r="D313" s="12" t="s">
        <v>202</v>
      </c>
    </row>
    <row r="314" spans="4:4" x14ac:dyDescent="0.25">
      <c r="D314" s="12" t="s">
        <v>203</v>
      </c>
    </row>
    <row r="315" spans="4:4" x14ac:dyDescent="0.25">
      <c r="D315" s="12" t="s">
        <v>204</v>
      </c>
    </row>
    <row r="316" spans="4:4" x14ac:dyDescent="0.25">
      <c r="D316" s="12" t="s">
        <v>205</v>
      </c>
    </row>
    <row r="317" spans="4:4" x14ac:dyDescent="0.25">
      <c r="D317" s="12" t="s">
        <v>206</v>
      </c>
    </row>
    <row r="318" spans="4:4" x14ac:dyDescent="0.25">
      <c r="D318" s="12" t="s">
        <v>207</v>
      </c>
    </row>
    <row r="319" spans="4:4" x14ac:dyDescent="0.25">
      <c r="D319" s="12" t="s">
        <v>208</v>
      </c>
    </row>
  </sheetData>
  <mergeCells count="1">
    <mergeCell ref="C16:H16"/>
  </mergeCells>
  <dataValidations count="7">
    <dataValidation type="list" allowBlank="1" showInputMessage="1" showErrorMessage="1" sqref="G5" xr:uid="{E8342669-B325-40E5-8D4D-8552C264AF9A}">
      <formula1>months</formula1>
    </dataValidation>
    <dataValidation type="list" allowBlank="1" showInputMessage="1" showErrorMessage="1" sqref="H5" xr:uid="{D79F2B5A-FDDA-4FCD-B232-007F8ABCE23D}">
      <formula1>OFFSET(days,0,0,A27,1)</formula1>
    </dataValidation>
    <dataValidation type="whole" allowBlank="1" showInputMessage="1" sqref="I5" xr:uid="{1C784E26-5A2F-4EB0-BA5A-C933F24C277E}">
      <formula1>2026</formula1>
      <formula2>3000</formula2>
    </dataValidation>
    <dataValidation type="decimal" allowBlank="1" showInputMessage="1" showErrorMessage="1" errorTitle="Invalid input!" error="please input numeric value only" sqref="H9 H7" xr:uid="{50424ADD-5541-4A0C-A54B-7905AA5CFAA3}">
      <formula1>1</formula1>
      <formula2>1000000000</formula2>
    </dataValidation>
    <dataValidation type="list" allowBlank="1" showInputMessage="1" sqref="C3" xr:uid="{261092FA-951A-43F2-9F8B-047C4B096931}">
      <formula1>$N$10:$N$13</formula1>
    </dataValidation>
    <dataValidation type="list" allowBlank="1" sqref="C9" xr:uid="{A76E7B32-1B19-4978-9770-D6D677A46FF9}">
      <formula1>$D$152:$D$319</formula1>
    </dataValidation>
    <dataValidation type="list" allowBlank="1" showInputMessage="1" sqref="C5" xr:uid="{3B576BC7-6D52-46AD-9FDE-2D53FEB17982}">
      <formula1>"LOAN PAYMENT,LOAN RELEASE,LOAN AMORTIZATION,UNEARNED INTEREST INCOME,LOAN PAYMENT VIA BANK TRANSFER"</formula1>
    </dataValidation>
  </dataValidations>
  <pageMargins left="0.70866141732283461" right="0.70866141732283461" top="0.74803149606299213" bottom="0.74803149606299213" header="0.31496062992125984" footer="0.31496062992125984"/>
  <pageSetup orientation="portrait" r:id="rId1"/>
  <ignoredErrors>
    <ignoredError sqref="M5" unlockedFormula="1"/>
  </ignoredErrors>
  <drawing r:id="rId2"/>
  <legacyDrawing r:id="rId3"/>
  <controls>
    <mc:AlternateContent xmlns:mc="http://schemas.openxmlformats.org/markup-compatibility/2006">
      <mc:Choice Requires="x14">
        <control shapeId="1028" r:id="rId4" name="ComboBox1">
          <controlPr defaultSize="0" autoLine="0" linkedCell="C9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9525</xdr:colOff>
                <xdr:row>9</xdr:row>
                <xdr:rowOff>9525</xdr:rowOff>
              </to>
            </anchor>
          </controlPr>
        </control>
      </mc:Choice>
      <mc:Fallback>
        <control shapeId="1028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E7C5B-7284-4326-B753-337417A26A1A}">
  <sheetPr codeName="Sheet4"/>
  <dimension ref="A1:J42"/>
  <sheetViews>
    <sheetView tabSelected="1" zoomScale="115" zoomScaleNormal="115" zoomScaleSheetLayoutView="85" zoomScalePageLayoutView="115" workbookViewId="0">
      <selection activeCell="N18" sqref="N18"/>
    </sheetView>
  </sheetViews>
  <sheetFormatPr defaultRowHeight="15" x14ac:dyDescent="0.25"/>
  <cols>
    <col min="1" max="1" width="5" style="1" customWidth="1"/>
    <col min="2" max="2" width="8.28515625" style="1" customWidth="1"/>
    <col min="3" max="3" width="5.140625" style="1" customWidth="1"/>
    <col min="4" max="4" width="7.5703125" style="1" customWidth="1"/>
    <col min="5" max="5" width="8.28515625" style="1" customWidth="1"/>
    <col min="6" max="6" width="7.85546875" style="1" customWidth="1"/>
    <col min="7" max="7" width="13.140625" style="1" customWidth="1"/>
    <col min="8" max="9" width="10.7109375" style="1" customWidth="1"/>
    <col min="10" max="10" width="9.7109375" style="1" customWidth="1"/>
    <col min="11" max="16384" width="9.140625" style="1"/>
  </cols>
  <sheetData>
    <row r="1" spans="1:10" ht="15" customHeight="1" x14ac:dyDescent="0.3">
      <c r="B1" s="48" t="s">
        <v>21</v>
      </c>
      <c r="D1" s="47"/>
    </row>
    <row r="3" spans="1:10" ht="14.25" customHeight="1" x14ac:dyDescent="0.25">
      <c r="A3" s="4"/>
      <c r="B3" s="3"/>
      <c r="C3" s="5"/>
      <c r="D3" s="5"/>
      <c r="E3" s="5"/>
      <c r="F3" s="5"/>
      <c r="G3" s="5"/>
      <c r="H3" s="6"/>
      <c r="I3" s="2"/>
    </row>
    <row r="4" spans="1:10" x14ac:dyDescent="0.25">
      <c r="A4" s="71"/>
      <c r="B4" s="72" t="s">
        <v>0</v>
      </c>
      <c r="C4" s="73"/>
      <c r="D4" s="74"/>
      <c r="E4" s="71"/>
      <c r="F4" s="71"/>
      <c r="G4" s="71"/>
      <c r="H4" s="75" t="s">
        <v>2</v>
      </c>
      <c r="I4" s="76"/>
      <c r="J4" s="77"/>
    </row>
    <row r="5" spans="1:10" x14ac:dyDescent="0.25">
      <c r="A5" s="71"/>
      <c r="B5" s="78"/>
      <c r="C5" s="67"/>
      <c r="D5" s="67"/>
      <c r="E5" s="68"/>
      <c r="F5" s="68"/>
      <c r="G5" s="68"/>
      <c r="H5" s="69"/>
      <c r="I5" s="69"/>
      <c r="J5" s="79"/>
    </row>
    <row r="6" spans="1:10" x14ac:dyDescent="0.25">
      <c r="A6" s="71"/>
      <c r="B6" s="72" t="s">
        <v>210</v>
      </c>
      <c r="C6" s="67"/>
      <c r="D6" s="67"/>
      <c r="E6" s="68"/>
      <c r="F6" s="68"/>
      <c r="G6" s="68"/>
      <c r="H6" s="75" t="s">
        <v>3</v>
      </c>
      <c r="I6" s="75" t="s">
        <v>4</v>
      </c>
      <c r="J6" s="77"/>
    </row>
    <row r="7" spans="1:10" x14ac:dyDescent="0.25">
      <c r="A7" s="71"/>
      <c r="B7" s="65"/>
      <c r="C7" s="66"/>
      <c r="D7" s="67"/>
      <c r="E7" s="68"/>
      <c r="F7" s="66"/>
      <c r="G7" s="68"/>
      <c r="H7" s="69"/>
      <c r="I7" s="69"/>
      <c r="J7" s="77"/>
    </row>
    <row r="8" spans="1:10" x14ac:dyDescent="0.25">
      <c r="A8" s="71"/>
      <c r="B8" s="65"/>
      <c r="C8" s="66"/>
      <c r="D8" s="67"/>
      <c r="E8" s="68"/>
      <c r="F8" s="66"/>
      <c r="G8" s="68"/>
      <c r="H8" s="69"/>
      <c r="I8" s="69"/>
      <c r="J8" s="77"/>
    </row>
    <row r="9" spans="1:10" x14ac:dyDescent="0.25">
      <c r="A9" s="71"/>
      <c r="B9" s="65"/>
      <c r="C9" s="66"/>
      <c r="D9" s="67"/>
      <c r="E9" s="68"/>
      <c r="F9" s="66"/>
      <c r="G9" s="68"/>
      <c r="H9" s="69"/>
      <c r="I9" s="69"/>
      <c r="J9" s="77"/>
    </row>
    <row r="10" spans="1:10" x14ac:dyDescent="0.25">
      <c r="A10" s="71"/>
      <c r="B10" s="65"/>
      <c r="C10" s="67"/>
      <c r="D10" s="67"/>
      <c r="E10" s="70"/>
      <c r="F10" s="66"/>
      <c r="G10" s="70"/>
      <c r="H10" s="69"/>
      <c r="I10" s="69"/>
      <c r="J10" s="80"/>
    </row>
    <row r="11" spans="1:10" x14ac:dyDescent="0.25">
      <c r="A11" s="71"/>
      <c r="B11" s="65"/>
      <c r="C11" s="67"/>
      <c r="D11" s="66"/>
      <c r="E11" s="70"/>
      <c r="F11" s="66"/>
      <c r="G11" s="70"/>
      <c r="H11" s="81"/>
      <c r="I11" s="81"/>
      <c r="J11" s="80"/>
    </row>
    <row r="12" spans="1:10" x14ac:dyDescent="0.25">
      <c r="A12" s="71"/>
      <c r="B12" s="65"/>
      <c r="C12" s="68"/>
      <c r="D12" s="82"/>
      <c r="E12" s="68"/>
      <c r="F12" s="68"/>
      <c r="G12" s="68"/>
      <c r="H12" s="69"/>
      <c r="I12" s="69"/>
      <c r="J12" s="83"/>
    </row>
    <row r="13" spans="1:10" x14ac:dyDescent="0.25">
      <c r="A13" s="71"/>
      <c r="B13" s="78"/>
      <c r="C13" s="68"/>
      <c r="D13" s="82"/>
      <c r="E13" s="68"/>
      <c r="F13" s="68"/>
      <c r="G13" s="68"/>
      <c r="H13" s="69"/>
      <c r="I13" s="69"/>
      <c r="J13" s="83"/>
    </row>
    <row r="14" spans="1:10" x14ac:dyDescent="0.25">
      <c r="B14" s="52"/>
      <c r="C14" s="7"/>
      <c r="D14" s="59"/>
      <c r="E14" s="7"/>
      <c r="F14" s="7"/>
      <c r="G14" s="7"/>
      <c r="H14" s="54"/>
      <c r="I14" s="54"/>
      <c r="J14" s="61"/>
    </row>
    <row r="15" spans="1:10" x14ac:dyDescent="0.25">
      <c r="B15" s="52"/>
      <c r="D15" s="59"/>
      <c r="H15" s="54"/>
      <c r="I15" s="54"/>
      <c r="J15" s="61"/>
    </row>
    <row r="16" spans="1:10" x14ac:dyDescent="0.25">
      <c r="B16" s="7"/>
      <c r="C16" s="85"/>
      <c r="D16" s="85"/>
      <c r="E16" s="7"/>
      <c r="F16" s="85"/>
      <c r="G16" s="7"/>
      <c r="H16" s="54"/>
      <c r="I16" s="84"/>
      <c r="J16" s="61"/>
    </row>
    <row r="17" spans="2:10" x14ac:dyDescent="0.25">
      <c r="B17" s="7"/>
      <c r="C17" s="51"/>
      <c r="D17" s="85"/>
      <c r="E17" s="7"/>
      <c r="F17" s="85"/>
      <c r="G17" s="7"/>
      <c r="H17" s="54"/>
      <c r="I17" s="84"/>
      <c r="J17" s="61"/>
    </row>
    <row r="18" spans="2:10" x14ac:dyDescent="0.25">
      <c r="B18" s="50"/>
      <c r="C18" s="53"/>
      <c r="D18" s="53"/>
      <c r="E18" s="7"/>
      <c r="F18" s="53"/>
      <c r="G18" s="7"/>
      <c r="H18" s="58"/>
      <c r="I18" s="58"/>
      <c r="J18" s="61"/>
    </row>
    <row r="19" spans="2:10" x14ac:dyDescent="0.25">
      <c r="B19" s="49"/>
      <c r="C19" s="53"/>
      <c r="D19" s="59"/>
      <c r="E19" s="7"/>
      <c r="F19" s="53"/>
      <c r="G19" s="7"/>
      <c r="H19" s="58"/>
      <c r="I19" s="58"/>
      <c r="J19" s="60"/>
    </row>
    <row r="20" spans="2:10" x14ac:dyDescent="0.25">
      <c r="B20" s="49"/>
      <c r="C20" s="53"/>
      <c r="D20" s="59"/>
      <c r="E20" s="7"/>
      <c r="F20" s="53"/>
      <c r="G20" s="7"/>
      <c r="H20" s="53"/>
      <c r="I20" s="7"/>
    </row>
    <row r="21" spans="2:10" x14ac:dyDescent="0.25">
      <c r="B21" s="49"/>
      <c r="D21" s="55"/>
      <c r="H21" s="50"/>
      <c r="I21" s="56"/>
    </row>
    <row r="22" spans="2:10" x14ac:dyDescent="0.25">
      <c r="B22" s="49"/>
      <c r="D22" s="59"/>
    </row>
    <row r="23" spans="2:10" x14ac:dyDescent="0.25">
      <c r="B23" s="50"/>
      <c r="C23" s="57"/>
      <c r="H23" s="50"/>
      <c r="I23" s="50"/>
    </row>
    <row r="24" spans="2:10" x14ac:dyDescent="0.25">
      <c r="B24" s="52"/>
      <c r="H24" s="54"/>
      <c r="I24" s="54"/>
    </row>
    <row r="25" spans="2:10" x14ac:dyDescent="0.25">
      <c r="B25" s="52"/>
      <c r="H25" s="54"/>
      <c r="I25" s="54"/>
      <c r="J25" s="60"/>
    </row>
    <row r="26" spans="2:10" x14ac:dyDescent="0.25">
      <c r="B26" s="7"/>
      <c r="C26" s="53"/>
      <c r="D26" s="53"/>
      <c r="E26" s="7"/>
      <c r="F26" s="53"/>
      <c r="G26" s="7"/>
      <c r="H26" s="58"/>
      <c r="I26" s="58"/>
      <c r="J26" s="61"/>
    </row>
    <row r="27" spans="2:10" x14ac:dyDescent="0.25">
      <c r="B27" s="7"/>
      <c r="C27" s="53"/>
      <c r="D27" s="53"/>
      <c r="E27" s="7"/>
      <c r="F27" s="53"/>
      <c r="G27" s="7"/>
      <c r="H27" s="53"/>
      <c r="I27" s="7"/>
    </row>
    <row r="28" spans="2:10" x14ac:dyDescent="0.25">
      <c r="B28" s="49"/>
      <c r="D28" s="59"/>
    </row>
    <row r="30" spans="2:10" x14ac:dyDescent="0.25">
      <c r="B30" s="49"/>
      <c r="D30" s="55"/>
      <c r="H30" s="50"/>
      <c r="I30" s="56"/>
    </row>
    <row r="32" spans="2:10" x14ac:dyDescent="0.25">
      <c r="B32" s="50"/>
      <c r="C32" s="57"/>
      <c r="H32" s="50"/>
      <c r="I32" s="50"/>
    </row>
    <row r="33" spans="2:10" x14ac:dyDescent="0.25">
      <c r="B33" s="52"/>
      <c r="H33" s="54"/>
      <c r="I33" s="54"/>
    </row>
    <row r="34" spans="2:10" x14ac:dyDescent="0.25">
      <c r="B34" s="52"/>
      <c r="H34" s="54"/>
      <c r="I34" s="54"/>
      <c r="J34" s="60"/>
    </row>
    <row r="35" spans="2:10" x14ac:dyDescent="0.25">
      <c r="H35" s="58"/>
      <c r="I35" s="58"/>
      <c r="J35" s="60"/>
    </row>
    <row r="37" spans="2:10" x14ac:dyDescent="0.25">
      <c r="B37" s="49"/>
      <c r="D37" s="59"/>
    </row>
    <row r="39" spans="2:10" x14ac:dyDescent="0.25">
      <c r="B39" s="49"/>
      <c r="H39" s="50"/>
    </row>
    <row r="41" spans="2:10" x14ac:dyDescent="0.25">
      <c r="B41" s="7"/>
      <c r="C41" s="53"/>
      <c r="D41" s="53"/>
      <c r="E41" s="7"/>
      <c r="F41" s="53"/>
      <c r="G41" s="7"/>
      <c r="H41" s="51"/>
      <c r="I41" s="7"/>
    </row>
    <row r="42" spans="2:10" x14ac:dyDescent="0.25">
      <c r="B42" s="7"/>
      <c r="C42" s="53"/>
      <c r="D42" s="53"/>
      <c r="E42" s="7"/>
      <c r="F42" s="53"/>
      <c r="G42" s="7"/>
      <c r="H42" s="53"/>
      <c r="I42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_All_Tickets">
                <anchor>
                  <from>
                    <xdr:col>11</xdr:col>
                    <xdr:colOff>485775</xdr:colOff>
                    <xdr:row>2</xdr:row>
                    <xdr:rowOff>104775</xdr:rowOff>
                  </from>
                  <to>
                    <xdr:col>13</xdr:col>
                    <xdr:colOff>228600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elete_Ticket">
                <anchor>
                  <from>
                    <xdr:col>11</xdr:col>
                    <xdr:colOff>514350</xdr:colOff>
                    <xdr:row>5</xdr:row>
                    <xdr:rowOff>133350</xdr:rowOff>
                  </from>
                  <to>
                    <xdr:col>13</xdr:col>
                    <xdr:colOff>228600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FORM</vt:lpstr>
      <vt:lpstr>TICKET</vt:lpstr>
      <vt:lpstr>Day</vt:lpstr>
      <vt:lpstr>days</vt:lpstr>
      <vt:lpstr>months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UBI-Accounting</dc:creator>
  <cp:lastModifiedBy>IT</cp:lastModifiedBy>
  <cp:lastPrinted>2026-03-19T08:42:18Z</cp:lastPrinted>
  <dcterms:created xsi:type="dcterms:W3CDTF">2026-02-03T06:11:43Z</dcterms:created>
  <dcterms:modified xsi:type="dcterms:W3CDTF">2026-04-15T08:09:24Z</dcterms:modified>
  <cp:contentStatus/>
</cp:coreProperties>
</file>